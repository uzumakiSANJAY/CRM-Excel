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 Data" sheetId="1" state="visible" r:id="rId1"/>
    <sheet name="Charts" sheetId="2" state="visible" r:id="rId2"/>
    <sheet name="Ma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b val="1"/>
      <color rgb="001a73e8"/>
      <sz val="20"/>
    </font>
    <font>
      <b val="1"/>
      <sz val="13"/>
    </font>
    <font>
      <b val="1"/>
    </font>
    <font>
      <i val="1"/>
      <color rgb="00888888"/>
    </font>
  </fonts>
  <fills count="5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f0f4ff"/>
      </patternFill>
    </fill>
    <fill>
      <patternFill patternType="solid">
        <fgColor rgb="00d0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4" fontId="0" fillId="3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5" fillId="4" borderId="0" pivotButton="0" quotePrefix="0" xfId="0"/>
    <xf numFmtId="4" fontId="5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5">
    <dxf>
      <font>
        <color rgb="000f5132"/>
      </font>
      <fill>
        <patternFill>
          <bgColor rgb="00b7e1cd"/>
        </patternFill>
      </fill>
    </dxf>
    <dxf>
      <font>
        <color rgb="00856404"/>
      </font>
      <fill>
        <patternFill>
          <bgColor rgb="00fff3cd"/>
        </patternFill>
      </fill>
    </dxf>
    <dxf>
      <font>
        <color rgb="00842029"/>
      </font>
      <fill>
        <patternFill>
          <bgColor rgb="00f8d7da"/>
        </patternFill>
      </fill>
    </dxf>
    <dxf>
      <font>
        <color rgb="00004085"/>
      </font>
      <fill>
        <patternFill>
          <bgColor rgb="00cce5ff"/>
        </patternFill>
      </fill>
    </dxf>
    <dxf>
      <font>
        <color rgb="00383d41"/>
      </font>
      <fill>
        <patternFill>
          <bgColor rgb="00e2e3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3" customWidth="1" min="4" max="4"/>
    <col width="18" customWidth="1" min="5" max="5"/>
    <col width="13" customWidth="1" min="6" max="6"/>
    <col width="18" customWidth="1" min="7" max="7"/>
    <col width="16" customWidth="1" min="8" max="8"/>
    <col width="16" customWidth="1" min="9" max="9"/>
    <col width="16" customWidth="1" min="10" max="10"/>
    <col width="12" customWidth="1" min="11" max="11"/>
    <col width="16" customWidth="1" min="12" max="12"/>
    <col width="20" customWidth="1" min="13" max="13"/>
    <col width="30" customWidth="1" min="14" max="14"/>
  </cols>
  <sheetData>
    <row r="1" ht="30" customHeight="1">
      <c r="A1" s="1" t="inlineStr">
        <is>
          <t>Customer Name</t>
        </is>
      </c>
      <c r="B1" s="1" t="inlineStr">
        <is>
          <t>Company Name</t>
        </is>
      </c>
      <c r="C1" s="1" t="inlineStr">
        <is>
          <t>Phone Number</t>
        </is>
      </c>
      <c r="D1" s="1" t="inlineStr">
        <is>
          <t>Status</t>
        </is>
      </c>
      <c r="E1" s="1" t="inlineStr">
        <is>
          <t>Bill Generate Date</t>
        </is>
      </c>
      <c r="F1" s="1" t="inlineStr">
        <is>
          <t>Amount</t>
        </is>
      </c>
      <c r="G1" s="1" t="inlineStr">
        <is>
          <t>Collected Amount</t>
        </is>
      </c>
      <c r="H1" s="1" t="inlineStr">
        <is>
          <t>Collection Date</t>
        </is>
      </c>
      <c r="I1" s="1" t="inlineStr">
        <is>
          <t>Collected By</t>
        </is>
      </c>
      <c r="J1" s="1" t="inlineStr">
        <is>
          <t>Pending Amount</t>
        </is>
      </c>
      <c r="K1" s="1" t="inlineStr">
        <is>
          <t>Delay Days</t>
        </is>
      </c>
      <c r="L1" s="1" t="inlineStr">
        <is>
          <t>Contacted Date</t>
        </is>
      </c>
      <c r="M1" s="1" t="inlineStr">
        <is>
          <t>Last Contacted Date</t>
        </is>
      </c>
      <c r="N1" s="1" t="inlineStr">
        <is>
          <t>Notes</t>
        </is>
      </c>
    </row>
    <row r="2">
      <c r="A2" s="2" t="n"/>
      <c r="B2" s="2">
        <f>IFERROR(VLOOKUP(A2,'Master Data'!$A:$C,2,0),"")</f>
        <v/>
      </c>
      <c r="C2" s="2">
        <f>IFERROR(VLOOKUP(A2,'Master Data'!$A:$C,3,0),"")</f>
        <v/>
      </c>
      <c r="D2" s="2" t="n"/>
      <c r="E2" s="3" t="n"/>
      <c r="F2" s="4" t="n"/>
      <c r="G2" s="4" t="n"/>
      <c r="H2" s="3" t="n"/>
      <c r="I2" s="2" t="n"/>
      <c r="J2" s="4">
        <f>IF(F2="","",F2-G2)</f>
        <v/>
      </c>
      <c r="K2" s="2">
        <f>IF(E2="","",IF(D2="Paid","",TODAY()-INT(E2)))</f>
        <v/>
      </c>
      <c r="L2" s="3" t="n"/>
      <c r="M2" s="3" t="n"/>
      <c r="N2" s="2" t="n"/>
    </row>
    <row r="3">
      <c r="B3">
        <f>IFERROR(VLOOKUP(A3,'Master Data'!$A:$C,2,0),"")</f>
        <v/>
      </c>
      <c r="C3">
        <f>IFERROR(VLOOKUP(A3,'Master Data'!$A:$C,3,0),"")</f>
        <v/>
      </c>
      <c r="E3" s="5" t="n"/>
      <c r="F3" s="6" t="n"/>
      <c r="G3" s="6" t="n"/>
      <c r="H3" s="5" t="n"/>
      <c r="J3" s="6">
        <f>IF(F3="","",F3-G3)</f>
        <v/>
      </c>
      <c r="K3">
        <f>IF(E3="","",IF(D3="Paid","",TODAY()-INT(E3)))</f>
        <v/>
      </c>
      <c r="L3" s="5" t="n"/>
      <c r="M3" s="5" t="n"/>
    </row>
    <row r="4">
      <c r="A4" s="2" t="n"/>
      <c r="B4" s="2">
        <f>IFERROR(VLOOKUP(A4,'Master Data'!$A:$C,2,0),"")</f>
        <v/>
      </c>
      <c r="C4" s="2">
        <f>IFERROR(VLOOKUP(A4,'Master Data'!$A:$C,3,0),"")</f>
        <v/>
      </c>
      <c r="D4" s="2" t="n"/>
      <c r="E4" s="3" t="n"/>
      <c r="F4" s="4" t="n"/>
      <c r="G4" s="4" t="n"/>
      <c r="H4" s="3" t="n"/>
      <c r="I4" s="2" t="n"/>
      <c r="J4" s="4">
        <f>IF(F4="","",F4-G4)</f>
        <v/>
      </c>
      <c r="K4" s="2">
        <f>IF(E4="","",IF(D4="Paid","",TODAY()-INT(E4)))</f>
        <v/>
      </c>
      <c r="L4" s="3" t="n"/>
      <c r="M4" s="3" t="n"/>
      <c r="N4" s="2" t="n"/>
    </row>
    <row r="5">
      <c r="B5">
        <f>IFERROR(VLOOKUP(A5,'Master Data'!$A:$C,2,0),"")</f>
        <v/>
      </c>
      <c r="C5">
        <f>IFERROR(VLOOKUP(A5,'Master Data'!$A:$C,3,0),"")</f>
        <v/>
      </c>
      <c r="E5" s="5" t="n"/>
      <c r="F5" s="6" t="n"/>
      <c r="G5" s="6" t="n"/>
      <c r="H5" s="5" t="n"/>
      <c r="J5" s="6">
        <f>IF(F5="","",F5-G5)</f>
        <v/>
      </c>
      <c r="K5">
        <f>IF(E5="","",IF(D5="Paid","",TODAY()-INT(E5)))</f>
        <v/>
      </c>
      <c r="L5" s="5" t="n"/>
      <c r="M5" s="5" t="n"/>
    </row>
    <row r="6">
      <c r="A6" s="2" t="n"/>
      <c r="B6" s="2">
        <f>IFERROR(VLOOKUP(A6,'Master Data'!$A:$C,2,0),"")</f>
        <v/>
      </c>
      <c r="C6" s="2">
        <f>IFERROR(VLOOKUP(A6,'Master Data'!$A:$C,3,0),"")</f>
        <v/>
      </c>
      <c r="D6" s="2" t="n"/>
      <c r="E6" s="3" t="n"/>
      <c r="F6" s="4" t="n"/>
      <c r="G6" s="4" t="n"/>
      <c r="H6" s="3" t="n"/>
      <c r="I6" s="2" t="n"/>
      <c r="J6" s="4">
        <f>IF(F6="","",F6-G6)</f>
        <v/>
      </c>
      <c r="K6" s="2">
        <f>IF(E6="","",IF(D6="Paid","",TODAY()-INT(E6)))</f>
        <v/>
      </c>
      <c r="L6" s="3" t="n"/>
      <c r="M6" s="3" t="n"/>
      <c r="N6" s="2" t="n"/>
    </row>
    <row r="7">
      <c r="B7">
        <f>IFERROR(VLOOKUP(A7,'Master Data'!$A:$C,2,0),"")</f>
        <v/>
      </c>
      <c r="C7">
        <f>IFERROR(VLOOKUP(A7,'Master Data'!$A:$C,3,0),"")</f>
        <v/>
      </c>
      <c r="E7" s="5" t="n"/>
      <c r="F7" s="6" t="n"/>
      <c r="G7" s="6" t="n"/>
      <c r="H7" s="5" t="n"/>
      <c r="J7" s="6">
        <f>IF(F7="","",F7-G7)</f>
        <v/>
      </c>
      <c r="K7">
        <f>IF(E7="","",IF(D7="Paid","",TODAY()-INT(E7)))</f>
        <v/>
      </c>
      <c r="L7" s="5" t="n"/>
      <c r="M7" s="5" t="n"/>
    </row>
    <row r="8">
      <c r="A8" s="2" t="n"/>
      <c r="B8" s="2">
        <f>IFERROR(VLOOKUP(A8,'Master Data'!$A:$C,2,0),"")</f>
        <v/>
      </c>
      <c r="C8" s="2">
        <f>IFERROR(VLOOKUP(A8,'Master Data'!$A:$C,3,0),"")</f>
        <v/>
      </c>
      <c r="D8" s="2" t="n"/>
      <c r="E8" s="3" t="n"/>
      <c r="F8" s="4" t="n"/>
      <c r="G8" s="4" t="n"/>
      <c r="H8" s="3" t="n"/>
      <c r="I8" s="2" t="n"/>
      <c r="J8" s="4">
        <f>IF(F8="","",F8-G8)</f>
        <v/>
      </c>
      <c r="K8" s="2">
        <f>IF(E8="","",IF(D8="Paid","",TODAY()-INT(E8)))</f>
        <v/>
      </c>
      <c r="L8" s="3" t="n"/>
      <c r="M8" s="3" t="n"/>
      <c r="N8" s="2" t="n"/>
    </row>
    <row r="9">
      <c r="B9">
        <f>IFERROR(VLOOKUP(A9,'Master Data'!$A:$C,2,0),"")</f>
        <v/>
      </c>
      <c r="C9">
        <f>IFERROR(VLOOKUP(A9,'Master Data'!$A:$C,3,0),"")</f>
        <v/>
      </c>
      <c r="E9" s="5" t="n"/>
      <c r="F9" s="6" t="n"/>
      <c r="G9" s="6" t="n"/>
      <c r="H9" s="5" t="n"/>
      <c r="J9" s="6">
        <f>IF(F9="","",F9-G9)</f>
        <v/>
      </c>
      <c r="K9">
        <f>IF(E9="","",IF(D9="Paid","",TODAY()-INT(E9)))</f>
        <v/>
      </c>
      <c r="L9" s="5" t="n"/>
      <c r="M9" s="5" t="n"/>
    </row>
    <row r="10">
      <c r="A10" s="2" t="n"/>
      <c r="B10" s="2">
        <f>IFERROR(VLOOKUP(A10,'Master Data'!$A:$C,2,0),"")</f>
        <v/>
      </c>
      <c r="C10" s="2">
        <f>IFERROR(VLOOKUP(A10,'Master Data'!$A:$C,3,0),"")</f>
        <v/>
      </c>
      <c r="D10" s="2" t="n"/>
      <c r="E10" s="3" t="n"/>
      <c r="F10" s="4" t="n"/>
      <c r="G10" s="4" t="n"/>
      <c r="H10" s="3" t="n"/>
      <c r="I10" s="2" t="n"/>
      <c r="J10" s="4">
        <f>IF(F10="","",F10-G10)</f>
        <v/>
      </c>
      <c r="K10" s="2">
        <f>IF(E10="","",IF(D10="Paid","",TODAY()-INT(E10)))</f>
        <v/>
      </c>
      <c r="L10" s="3" t="n"/>
      <c r="M10" s="3" t="n"/>
      <c r="N10" s="2" t="n"/>
    </row>
    <row r="11">
      <c r="B11">
        <f>IFERROR(VLOOKUP(A11,'Master Data'!$A:$C,2,0),"")</f>
        <v/>
      </c>
      <c r="C11">
        <f>IFERROR(VLOOKUP(A11,'Master Data'!$A:$C,3,0),"")</f>
        <v/>
      </c>
      <c r="E11" s="5" t="n"/>
      <c r="F11" s="6" t="n"/>
      <c r="G11" s="6" t="n"/>
      <c r="H11" s="5" t="n"/>
      <c r="J11" s="6">
        <f>IF(F11="","",F11-G11)</f>
        <v/>
      </c>
      <c r="K11">
        <f>IF(E11="","",IF(D11="Paid","",TODAY()-INT(E11)))</f>
        <v/>
      </c>
      <c r="L11" s="5" t="n"/>
      <c r="M11" s="5" t="n"/>
    </row>
    <row r="12">
      <c r="A12" s="2" t="n"/>
      <c r="B12" s="2">
        <f>IFERROR(VLOOKUP(A12,'Master Data'!$A:$C,2,0),"")</f>
        <v/>
      </c>
      <c r="C12" s="2">
        <f>IFERROR(VLOOKUP(A12,'Master Data'!$A:$C,3,0),"")</f>
        <v/>
      </c>
      <c r="D12" s="2" t="n"/>
      <c r="E12" s="3" t="n"/>
      <c r="F12" s="4" t="n"/>
      <c r="G12" s="4" t="n"/>
      <c r="H12" s="3" t="n"/>
      <c r="I12" s="2" t="n"/>
      <c r="J12" s="4">
        <f>IF(F12="","",F12-G12)</f>
        <v/>
      </c>
      <c r="K12" s="2">
        <f>IF(E12="","",IF(D12="Paid","",TODAY()-INT(E12)))</f>
        <v/>
      </c>
      <c r="L12" s="3" t="n"/>
      <c r="M12" s="3" t="n"/>
      <c r="N12" s="2" t="n"/>
    </row>
    <row r="13">
      <c r="B13">
        <f>IFERROR(VLOOKUP(A13,'Master Data'!$A:$C,2,0),"")</f>
        <v/>
      </c>
      <c r="C13">
        <f>IFERROR(VLOOKUP(A13,'Master Data'!$A:$C,3,0),"")</f>
        <v/>
      </c>
      <c r="E13" s="5" t="n"/>
      <c r="F13" s="6" t="n"/>
      <c r="G13" s="6" t="n"/>
      <c r="H13" s="5" t="n"/>
      <c r="J13" s="6">
        <f>IF(F13="","",F13-G13)</f>
        <v/>
      </c>
      <c r="K13">
        <f>IF(E13="","",IF(D13="Paid","",TODAY()-INT(E13)))</f>
        <v/>
      </c>
      <c r="L13" s="5" t="n"/>
      <c r="M13" s="5" t="n"/>
    </row>
    <row r="14">
      <c r="A14" s="2" t="n"/>
      <c r="B14" s="2">
        <f>IFERROR(VLOOKUP(A14,'Master Data'!$A:$C,2,0),"")</f>
        <v/>
      </c>
      <c r="C14" s="2">
        <f>IFERROR(VLOOKUP(A14,'Master Data'!$A:$C,3,0),"")</f>
        <v/>
      </c>
      <c r="D14" s="2" t="n"/>
      <c r="E14" s="3" t="n"/>
      <c r="F14" s="4" t="n"/>
      <c r="G14" s="4" t="n"/>
      <c r="H14" s="3" t="n"/>
      <c r="I14" s="2" t="n"/>
      <c r="J14" s="4">
        <f>IF(F14="","",F14-G14)</f>
        <v/>
      </c>
      <c r="K14" s="2">
        <f>IF(E14="","",IF(D14="Paid","",TODAY()-INT(E14)))</f>
        <v/>
      </c>
      <c r="L14" s="3" t="n"/>
      <c r="M14" s="3" t="n"/>
      <c r="N14" s="2" t="n"/>
    </row>
    <row r="15">
      <c r="B15">
        <f>IFERROR(VLOOKUP(A15,'Master Data'!$A:$C,2,0),"")</f>
        <v/>
      </c>
      <c r="C15">
        <f>IFERROR(VLOOKUP(A15,'Master Data'!$A:$C,3,0),"")</f>
        <v/>
      </c>
      <c r="E15" s="5" t="n"/>
      <c r="F15" s="6" t="n"/>
      <c r="G15" s="6" t="n"/>
      <c r="H15" s="5" t="n"/>
      <c r="J15" s="6">
        <f>IF(F15="","",F15-G15)</f>
        <v/>
      </c>
      <c r="K15">
        <f>IF(E15="","",IF(D15="Paid","",TODAY()-INT(E15)))</f>
        <v/>
      </c>
      <c r="L15" s="5" t="n"/>
      <c r="M15" s="5" t="n"/>
    </row>
    <row r="16">
      <c r="A16" s="2" t="n"/>
      <c r="B16" s="2">
        <f>IFERROR(VLOOKUP(A16,'Master Data'!$A:$C,2,0),"")</f>
        <v/>
      </c>
      <c r="C16" s="2">
        <f>IFERROR(VLOOKUP(A16,'Master Data'!$A:$C,3,0),"")</f>
        <v/>
      </c>
      <c r="D16" s="2" t="n"/>
      <c r="E16" s="3" t="n"/>
      <c r="F16" s="4" t="n"/>
      <c r="G16" s="4" t="n"/>
      <c r="H16" s="3" t="n"/>
      <c r="I16" s="2" t="n"/>
      <c r="J16" s="4">
        <f>IF(F16="","",F16-G16)</f>
        <v/>
      </c>
      <c r="K16" s="2">
        <f>IF(E16="","",IF(D16="Paid","",TODAY()-INT(E16)))</f>
        <v/>
      </c>
      <c r="L16" s="3" t="n"/>
      <c r="M16" s="3" t="n"/>
      <c r="N16" s="2" t="n"/>
    </row>
    <row r="17">
      <c r="B17">
        <f>IFERROR(VLOOKUP(A17,'Master Data'!$A:$C,2,0),"")</f>
        <v/>
      </c>
      <c r="C17">
        <f>IFERROR(VLOOKUP(A17,'Master Data'!$A:$C,3,0),"")</f>
        <v/>
      </c>
      <c r="E17" s="5" t="n"/>
      <c r="F17" s="6" t="n"/>
      <c r="G17" s="6" t="n"/>
      <c r="H17" s="5" t="n"/>
      <c r="J17" s="6">
        <f>IF(F17="","",F17-G17)</f>
        <v/>
      </c>
      <c r="K17">
        <f>IF(E17="","",IF(D17="Paid","",TODAY()-INT(E17)))</f>
        <v/>
      </c>
      <c r="L17" s="5" t="n"/>
      <c r="M17" s="5" t="n"/>
    </row>
    <row r="18">
      <c r="A18" s="2" t="n"/>
      <c r="B18" s="2">
        <f>IFERROR(VLOOKUP(A18,'Master Data'!$A:$C,2,0),"")</f>
        <v/>
      </c>
      <c r="C18" s="2">
        <f>IFERROR(VLOOKUP(A18,'Master Data'!$A:$C,3,0),"")</f>
        <v/>
      </c>
      <c r="D18" s="2" t="n"/>
      <c r="E18" s="3" t="n"/>
      <c r="F18" s="4" t="n"/>
      <c r="G18" s="4" t="n"/>
      <c r="H18" s="3" t="n"/>
      <c r="I18" s="2" t="n"/>
      <c r="J18" s="4">
        <f>IF(F18="","",F18-G18)</f>
        <v/>
      </c>
      <c r="K18" s="2">
        <f>IF(E18="","",IF(D18="Paid","",TODAY()-INT(E18)))</f>
        <v/>
      </c>
      <c r="L18" s="3" t="n"/>
      <c r="M18" s="3" t="n"/>
      <c r="N18" s="2" t="n"/>
    </row>
    <row r="19">
      <c r="B19">
        <f>IFERROR(VLOOKUP(A19,'Master Data'!$A:$C,2,0),"")</f>
        <v/>
      </c>
      <c r="C19">
        <f>IFERROR(VLOOKUP(A19,'Master Data'!$A:$C,3,0),"")</f>
        <v/>
      </c>
      <c r="E19" s="5" t="n"/>
      <c r="F19" s="6" t="n"/>
      <c r="G19" s="6" t="n"/>
      <c r="H19" s="5" t="n"/>
      <c r="J19" s="6">
        <f>IF(F19="","",F19-G19)</f>
        <v/>
      </c>
      <c r="K19">
        <f>IF(E19="","",IF(D19="Paid","",TODAY()-INT(E19)))</f>
        <v/>
      </c>
      <c r="L19" s="5" t="n"/>
      <c r="M19" s="5" t="n"/>
    </row>
    <row r="20">
      <c r="A20" s="2" t="n"/>
      <c r="B20" s="2">
        <f>IFERROR(VLOOKUP(A20,'Master Data'!$A:$C,2,0),"")</f>
        <v/>
      </c>
      <c r="C20" s="2">
        <f>IFERROR(VLOOKUP(A20,'Master Data'!$A:$C,3,0),"")</f>
        <v/>
      </c>
      <c r="D20" s="2" t="n"/>
      <c r="E20" s="3" t="n"/>
      <c r="F20" s="4" t="n"/>
      <c r="G20" s="4" t="n"/>
      <c r="H20" s="3" t="n"/>
      <c r="I20" s="2" t="n"/>
      <c r="J20" s="4">
        <f>IF(F20="","",F20-G20)</f>
        <v/>
      </c>
      <c r="K20" s="2">
        <f>IF(E20="","",IF(D20="Paid","",TODAY()-INT(E20)))</f>
        <v/>
      </c>
      <c r="L20" s="3" t="n"/>
      <c r="M20" s="3" t="n"/>
      <c r="N20" s="2" t="n"/>
    </row>
    <row r="21">
      <c r="B21">
        <f>IFERROR(VLOOKUP(A21,'Master Data'!$A:$C,2,0),"")</f>
        <v/>
      </c>
      <c r="C21">
        <f>IFERROR(VLOOKUP(A21,'Master Data'!$A:$C,3,0),"")</f>
        <v/>
      </c>
      <c r="E21" s="5" t="n"/>
      <c r="F21" s="6" t="n"/>
      <c r="G21" s="6" t="n"/>
      <c r="H21" s="5" t="n"/>
      <c r="J21" s="6">
        <f>IF(F21="","",F21-G21)</f>
        <v/>
      </c>
      <c r="K21">
        <f>IF(E21="","",IF(D21="Paid","",TODAY()-INT(E21)))</f>
        <v/>
      </c>
      <c r="L21" s="5" t="n"/>
      <c r="M21" s="5" t="n"/>
    </row>
    <row r="22">
      <c r="A22" s="2" t="n"/>
      <c r="B22" s="2">
        <f>IFERROR(VLOOKUP(A22,'Master Data'!$A:$C,2,0),"")</f>
        <v/>
      </c>
      <c r="C22" s="2">
        <f>IFERROR(VLOOKUP(A22,'Master Data'!$A:$C,3,0),"")</f>
        <v/>
      </c>
      <c r="D22" s="2" t="n"/>
      <c r="E22" s="3" t="n"/>
      <c r="F22" s="4" t="n"/>
      <c r="G22" s="4" t="n"/>
      <c r="H22" s="3" t="n"/>
      <c r="I22" s="2" t="n"/>
      <c r="J22" s="4">
        <f>IF(F22="","",F22-G22)</f>
        <v/>
      </c>
      <c r="K22" s="2">
        <f>IF(E22="","",IF(D22="Paid","",TODAY()-INT(E22)))</f>
        <v/>
      </c>
      <c r="L22" s="3" t="n"/>
      <c r="M22" s="3" t="n"/>
      <c r="N22" s="2" t="n"/>
    </row>
    <row r="23">
      <c r="B23">
        <f>IFERROR(VLOOKUP(A23,'Master Data'!$A:$C,2,0),"")</f>
        <v/>
      </c>
      <c r="C23">
        <f>IFERROR(VLOOKUP(A23,'Master Data'!$A:$C,3,0),"")</f>
        <v/>
      </c>
      <c r="E23" s="5" t="n"/>
      <c r="F23" s="6" t="n"/>
      <c r="G23" s="6" t="n"/>
      <c r="H23" s="5" t="n"/>
      <c r="J23" s="6">
        <f>IF(F23="","",F23-G23)</f>
        <v/>
      </c>
      <c r="K23">
        <f>IF(E23="","",IF(D23="Paid","",TODAY()-INT(E23)))</f>
        <v/>
      </c>
      <c r="L23" s="5" t="n"/>
      <c r="M23" s="5" t="n"/>
    </row>
    <row r="24">
      <c r="A24" s="2" t="n"/>
      <c r="B24" s="2">
        <f>IFERROR(VLOOKUP(A24,'Master Data'!$A:$C,2,0),"")</f>
        <v/>
      </c>
      <c r="C24" s="2">
        <f>IFERROR(VLOOKUP(A24,'Master Data'!$A:$C,3,0),"")</f>
        <v/>
      </c>
      <c r="D24" s="2" t="n"/>
      <c r="E24" s="3" t="n"/>
      <c r="F24" s="4" t="n"/>
      <c r="G24" s="4" t="n"/>
      <c r="H24" s="3" t="n"/>
      <c r="I24" s="2" t="n"/>
      <c r="J24" s="4">
        <f>IF(F24="","",F24-G24)</f>
        <v/>
      </c>
      <c r="K24" s="2">
        <f>IF(E24="","",IF(D24="Paid","",TODAY()-INT(E24)))</f>
        <v/>
      </c>
      <c r="L24" s="3" t="n"/>
      <c r="M24" s="3" t="n"/>
      <c r="N24" s="2" t="n"/>
    </row>
    <row r="25">
      <c r="B25">
        <f>IFERROR(VLOOKUP(A25,'Master Data'!$A:$C,2,0),"")</f>
        <v/>
      </c>
      <c r="C25">
        <f>IFERROR(VLOOKUP(A25,'Master Data'!$A:$C,3,0),"")</f>
        <v/>
      </c>
      <c r="E25" s="5" t="n"/>
      <c r="F25" s="6" t="n"/>
      <c r="G25" s="6" t="n"/>
      <c r="H25" s="5" t="n"/>
      <c r="J25" s="6">
        <f>IF(F25="","",F25-G25)</f>
        <v/>
      </c>
      <c r="K25">
        <f>IF(E25="","",IF(D25="Paid","",TODAY()-INT(E25)))</f>
        <v/>
      </c>
      <c r="L25" s="5" t="n"/>
      <c r="M25" s="5" t="n"/>
    </row>
    <row r="26">
      <c r="A26" s="2" t="n"/>
      <c r="B26" s="2">
        <f>IFERROR(VLOOKUP(A26,'Master Data'!$A:$C,2,0),"")</f>
        <v/>
      </c>
      <c r="C26" s="2">
        <f>IFERROR(VLOOKUP(A26,'Master Data'!$A:$C,3,0),"")</f>
        <v/>
      </c>
      <c r="D26" s="2" t="n"/>
      <c r="E26" s="3" t="n"/>
      <c r="F26" s="4" t="n"/>
      <c r="G26" s="4" t="n"/>
      <c r="H26" s="3" t="n"/>
      <c r="I26" s="2" t="n"/>
      <c r="J26" s="4">
        <f>IF(F26="","",F26-G26)</f>
        <v/>
      </c>
      <c r="K26" s="2">
        <f>IF(E26="","",IF(D26="Paid","",TODAY()-INT(E26)))</f>
        <v/>
      </c>
      <c r="L26" s="3" t="n"/>
      <c r="M26" s="3" t="n"/>
      <c r="N26" s="2" t="n"/>
    </row>
    <row r="27">
      <c r="B27">
        <f>IFERROR(VLOOKUP(A27,'Master Data'!$A:$C,2,0),"")</f>
        <v/>
      </c>
      <c r="C27">
        <f>IFERROR(VLOOKUP(A27,'Master Data'!$A:$C,3,0),"")</f>
        <v/>
      </c>
      <c r="E27" s="5" t="n"/>
      <c r="F27" s="6" t="n"/>
      <c r="G27" s="6" t="n"/>
      <c r="H27" s="5" t="n"/>
      <c r="J27" s="6">
        <f>IF(F27="","",F27-G27)</f>
        <v/>
      </c>
      <c r="K27">
        <f>IF(E27="","",IF(D27="Paid","",TODAY()-INT(E27)))</f>
        <v/>
      </c>
      <c r="L27" s="5" t="n"/>
      <c r="M27" s="5" t="n"/>
    </row>
    <row r="28">
      <c r="A28" s="2" t="n"/>
      <c r="B28" s="2">
        <f>IFERROR(VLOOKUP(A28,'Master Data'!$A:$C,2,0),"")</f>
        <v/>
      </c>
      <c r="C28" s="2">
        <f>IFERROR(VLOOKUP(A28,'Master Data'!$A:$C,3,0),"")</f>
        <v/>
      </c>
      <c r="D28" s="2" t="n"/>
      <c r="E28" s="3" t="n"/>
      <c r="F28" s="4" t="n"/>
      <c r="G28" s="4" t="n"/>
      <c r="H28" s="3" t="n"/>
      <c r="I28" s="2" t="n"/>
      <c r="J28" s="4">
        <f>IF(F28="","",F28-G28)</f>
        <v/>
      </c>
      <c r="K28" s="2">
        <f>IF(E28="","",IF(D28="Paid","",TODAY()-INT(E28)))</f>
        <v/>
      </c>
      <c r="L28" s="3" t="n"/>
      <c r="M28" s="3" t="n"/>
      <c r="N28" s="2" t="n"/>
    </row>
    <row r="29">
      <c r="B29">
        <f>IFERROR(VLOOKUP(A29,'Master Data'!$A:$C,2,0),"")</f>
        <v/>
      </c>
      <c r="C29">
        <f>IFERROR(VLOOKUP(A29,'Master Data'!$A:$C,3,0),"")</f>
        <v/>
      </c>
      <c r="E29" s="5" t="n"/>
      <c r="F29" s="6" t="n"/>
      <c r="G29" s="6" t="n"/>
      <c r="H29" s="5" t="n"/>
      <c r="J29" s="6">
        <f>IF(F29="","",F29-G29)</f>
        <v/>
      </c>
      <c r="K29">
        <f>IF(E29="","",IF(D29="Paid","",TODAY()-INT(E29)))</f>
        <v/>
      </c>
      <c r="L29" s="5" t="n"/>
      <c r="M29" s="5" t="n"/>
    </row>
    <row r="30">
      <c r="A30" s="2" t="n"/>
      <c r="B30" s="2">
        <f>IFERROR(VLOOKUP(A30,'Master Data'!$A:$C,2,0),"")</f>
        <v/>
      </c>
      <c r="C30" s="2">
        <f>IFERROR(VLOOKUP(A30,'Master Data'!$A:$C,3,0),"")</f>
        <v/>
      </c>
      <c r="D30" s="2" t="n"/>
      <c r="E30" s="3" t="n"/>
      <c r="F30" s="4" t="n"/>
      <c r="G30" s="4" t="n"/>
      <c r="H30" s="3" t="n"/>
      <c r="I30" s="2" t="n"/>
      <c r="J30" s="4">
        <f>IF(F30="","",F30-G30)</f>
        <v/>
      </c>
      <c r="K30" s="2">
        <f>IF(E30="","",IF(D30="Paid","",TODAY()-INT(E30)))</f>
        <v/>
      </c>
      <c r="L30" s="3" t="n"/>
      <c r="M30" s="3" t="n"/>
      <c r="N30" s="2" t="n"/>
    </row>
    <row r="31">
      <c r="B31">
        <f>IFERROR(VLOOKUP(A31,'Master Data'!$A:$C,2,0),"")</f>
        <v/>
      </c>
      <c r="C31">
        <f>IFERROR(VLOOKUP(A31,'Master Data'!$A:$C,3,0),"")</f>
        <v/>
      </c>
      <c r="E31" s="5" t="n"/>
      <c r="F31" s="6" t="n"/>
      <c r="G31" s="6" t="n"/>
      <c r="H31" s="5" t="n"/>
      <c r="J31" s="6">
        <f>IF(F31="","",F31-G31)</f>
        <v/>
      </c>
      <c r="K31">
        <f>IF(E31="","",IF(D31="Paid","",TODAY()-INT(E31)))</f>
        <v/>
      </c>
      <c r="L31" s="5" t="n"/>
      <c r="M31" s="5" t="n"/>
    </row>
    <row r="32">
      <c r="A32" s="2" t="n"/>
      <c r="B32" s="2">
        <f>IFERROR(VLOOKUP(A32,'Master Data'!$A:$C,2,0),"")</f>
        <v/>
      </c>
      <c r="C32" s="2">
        <f>IFERROR(VLOOKUP(A32,'Master Data'!$A:$C,3,0),"")</f>
        <v/>
      </c>
      <c r="D32" s="2" t="n"/>
      <c r="E32" s="3" t="n"/>
      <c r="F32" s="4" t="n"/>
      <c r="G32" s="4" t="n"/>
      <c r="H32" s="3" t="n"/>
      <c r="I32" s="2" t="n"/>
      <c r="J32" s="4">
        <f>IF(F32="","",F32-G32)</f>
        <v/>
      </c>
      <c r="K32" s="2">
        <f>IF(E32="","",IF(D32="Paid","",TODAY()-INT(E32)))</f>
        <v/>
      </c>
      <c r="L32" s="3" t="n"/>
      <c r="M32" s="3" t="n"/>
      <c r="N32" s="2" t="n"/>
    </row>
    <row r="33">
      <c r="B33">
        <f>IFERROR(VLOOKUP(A33,'Master Data'!$A:$C,2,0),"")</f>
        <v/>
      </c>
      <c r="C33">
        <f>IFERROR(VLOOKUP(A33,'Master Data'!$A:$C,3,0),"")</f>
        <v/>
      </c>
      <c r="E33" s="5" t="n"/>
      <c r="F33" s="6" t="n"/>
      <c r="G33" s="6" t="n"/>
      <c r="H33" s="5" t="n"/>
      <c r="J33" s="6">
        <f>IF(F33="","",F33-G33)</f>
        <v/>
      </c>
      <c r="K33">
        <f>IF(E33="","",IF(D33="Paid","",TODAY()-INT(E33)))</f>
        <v/>
      </c>
      <c r="L33" s="5" t="n"/>
      <c r="M33" s="5" t="n"/>
    </row>
    <row r="34">
      <c r="A34" s="2" t="n"/>
      <c r="B34" s="2">
        <f>IFERROR(VLOOKUP(A34,'Master Data'!$A:$C,2,0),"")</f>
        <v/>
      </c>
      <c r="C34" s="2">
        <f>IFERROR(VLOOKUP(A34,'Master Data'!$A:$C,3,0),"")</f>
        <v/>
      </c>
      <c r="D34" s="2" t="n"/>
      <c r="E34" s="3" t="n"/>
      <c r="F34" s="4" t="n"/>
      <c r="G34" s="4" t="n"/>
      <c r="H34" s="3" t="n"/>
      <c r="I34" s="2" t="n"/>
      <c r="J34" s="4">
        <f>IF(F34="","",F34-G34)</f>
        <v/>
      </c>
      <c r="K34" s="2">
        <f>IF(E34="","",IF(D34="Paid","",TODAY()-INT(E34)))</f>
        <v/>
      </c>
      <c r="L34" s="3" t="n"/>
      <c r="M34" s="3" t="n"/>
      <c r="N34" s="2" t="n"/>
    </row>
    <row r="35">
      <c r="B35">
        <f>IFERROR(VLOOKUP(A35,'Master Data'!$A:$C,2,0),"")</f>
        <v/>
      </c>
      <c r="C35">
        <f>IFERROR(VLOOKUP(A35,'Master Data'!$A:$C,3,0),"")</f>
        <v/>
      </c>
      <c r="E35" s="5" t="n"/>
      <c r="F35" s="6" t="n"/>
      <c r="G35" s="6" t="n"/>
      <c r="H35" s="5" t="n"/>
      <c r="J35" s="6">
        <f>IF(F35="","",F35-G35)</f>
        <v/>
      </c>
      <c r="K35">
        <f>IF(E35="","",IF(D35="Paid","",TODAY()-INT(E35)))</f>
        <v/>
      </c>
      <c r="L35" s="5" t="n"/>
      <c r="M35" s="5" t="n"/>
    </row>
    <row r="36">
      <c r="A36" s="2" t="n"/>
      <c r="B36" s="2">
        <f>IFERROR(VLOOKUP(A36,'Master Data'!$A:$C,2,0),"")</f>
        <v/>
      </c>
      <c r="C36" s="2">
        <f>IFERROR(VLOOKUP(A36,'Master Data'!$A:$C,3,0),"")</f>
        <v/>
      </c>
      <c r="D36" s="2" t="n"/>
      <c r="E36" s="3" t="n"/>
      <c r="F36" s="4" t="n"/>
      <c r="G36" s="4" t="n"/>
      <c r="H36" s="3" t="n"/>
      <c r="I36" s="2" t="n"/>
      <c r="J36" s="4">
        <f>IF(F36="","",F36-G36)</f>
        <v/>
      </c>
      <c r="K36" s="2">
        <f>IF(E36="","",IF(D36="Paid","",TODAY()-INT(E36)))</f>
        <v/>
      </c>
      <c r="L36" s="3" t="n"/>
      <c r="M36" s="3" t="n"/>
      <c r="N36" s="2" t="n"/>
    </row>
    <row r="37">
      <c r="B37">
        <f>IFERROR(VLOOKUP(A37,'Master Data'!$A:$C,2,0),"")</f>
        <v/>
      </c>
      <c r="C37">
        <f>IFERROR(VLOOKUP(A37,'Master Data'!$A:$C,3,0),"")</f>
        <v/>
      </c>
      <c r="E37" s="5" t="n"/>
      <c r="F37" s="6" t="n"/>
      <c r="G37" s="6" t="n"/>
      <c r="H37" s="5" t="n"/>
      <c r="J37" s="6">
        <f>IF(F37="","",F37-G37)</f>
        <v/>
      </c>
      <c r="K37">
        <f>IF(E37="","",IF(D37="Paid","",TODAY()-INT(E37)))</f>
        <v/>
      </c>
      <c r="L37" s="5" t="n"/>
      <c r="M37" s="5" t="n"/>
    </row>
    <row r="38">
      <c r="A38" s="2" t="n"/>
      <c r="B38" s="2">
        <f>IFERROR(VLOOKUP(A38,'Master Data'!$A:$C,2,0),"")</f>
        <v/>
      </c>
      <c r="C38" s="2">
        <f>IFERROR(VLOOKUP(A38,'Master Data'!$A:$C,3,0),"")</f>
        <v/>
      </c>
      <c r="D38" s="2" t="n"/>
      <c r="E38" s="3" t="n"/>
      <c r="F38" s="4" t="n"/>
      <c r="G38" s="4" t="n"/>
      <c r="H38" s="3" t="n"/>
      <c r="I38" s="2" t="n"/>
      <c r="J38" s="4">
        <f>IF(F38="","",F38-G38)</f>
        <v/>
      </c>
      <c r="K38" s="2">
        <f>IF(E38="","",IF(D38="Paid","",TODAY()-INT(E38)))</f>
        <v/>
      </c>
      <c r="L38" s="3" t="n"/>
      <c r="M38" s="3" t="n"/>
      <c r="N38" s="2" t="n"/>
    </row>
    <row r="39">
      <c r="B39">
        <f>IFERROR(VLOOKUP(A39,'Master Data'!$A:$C,2,0),"")</f>
        <v/>
      </c>
      <c r="C39">
        <f>IFERROR(VLOOKUP(A39,'Master Data'!$A:$C,3,0),"")</f>
        <v/>
      </c>
      <c r="E39" s="5" t="n"/>
      <c r="F39" s="6" t="n"/>
      <c r="G39" s="6" t="n"/>
      <c r="H39" s="5" t="n"/>
      <c r="J39" s="6">
        <f>IF(F39="","",F39-G39)</f>
        <v/>
      </c>
      <c r="K39">
        <f>IF(E39="","",IF(D39="Paid","",TODAY()-INT(E39)))</f>
        <v/>
      </c>
      <c r="L39" s="5" t="n"/>
      <c r="M39" s="5" t="n"/>
    </row>
    <row r="40">
      <c r="A40" s="2" t="n"/>
      <c r="B40" s="2">
        <f>IFERROR(VLOOKUP(A40,'Master Data'!$A:$C,2,0),"")</f>
        <v/>
      </c>
      <c r="C40" s="2">
        <f>IFERROR(VLOOKUP(A40,'Master Data'!$A:$C,3,0),"")</f>
        <v/>
      </c>
      <c r="D40" s="2" t="n"/>
      <c r="E40" s="3" t="n"/>
      <c r="F40" s="4" t="n"/>
      <c r="G40" s="4" t="n"/>
      <c r="H40" s="3" t="n"/>
      <c r="I40" s="2" t="n"/>
      <c r="J40" s="4">
        <f>IF(F40="","",F40-G40)</f>
        <v/>
      </c>
      <c r="K40" s="2">
        <f>IF(E40="","",IF(D40="Paid","",TODAY()-INT(E40)))</f>
        <v/>
      </c>
      <c r="L40" s="3" t="n"/>
      <c r="M40" s="3" t="n"/>
      <c r="N40" s="2" t="n"/>
    </row>
    <row r="41">
      <c r="B41">
        <f>IFERROR(VLOOKUP(A41,'Master Data'!$A:$C,2,0),"")</f>
        <v/>
      </c>
      <c r="C41">
        <f>IFERROR(VLOOKUP(A41,'Master Data'!$A:$C,3,0),"")</f>
        <v/>
      </c>
      <c r="E41" s="5" t="n"/>
      <c r="F41" s="6" t="n"/>
      <c r="G41" s="6" t="n"/>
      <c r="H41" s="5" t="n"/>
      <c r="J41" s="6">
        <f>IF(F41="","",F41-G41)</f>
        <v/>
      </c>
      <c r="K41">
        <f>IF(E41="","",IF(D41="Paid","",TODAY()-INT(E41)))</f>
        <v/>
      </c>
      <c r="L41" s="5" t="n"/>
      <c r="M41" s="5" t="n"/>
    </row>
    <row r="42">
      <c r="A42" s="2" t="n"/>
      <c r="B42" s="2">
        <f>IFERROR(VLOOKUP(A42,'Master Data'!$A:$C,2,0),"")</f>
        <v/>
      </c>
      <c r="C42" s="2">
        <f>IFERROR(VLOOKUP(A42,'Master Data'!$A:$C,3,0),"")</f>
        <v/>
      </c>
      <c r="D42" s="2" t="n"/>
      <c r="E42" s="3" t="n"/>
      <c r="F42" s="4" t="n"/>
      <c r="G42" s="4" t="n"/>
      <c r="H42" s="3" t="n"/>
      <c r="I42" s="2" t="n"/>
      <c r="J42" s="4">
        <f>IF(F42="","",F42-G42)</f>
        <v/>
      </c>
      <c r="K42" s="2">
        <f>IF(E42="","",IF(D42="Paid","",TODAY()-INT(E42)))</f>
        <v/>
      </c>
      <c r="L42" s="3" t="n"/>
      <c r="M42" s="3" t="n"/>
      <c r="N42" s="2" t="n"/>
    </row>
    <row r="43">
      <c r="B43">
        <f>IFERROR(VLOOKUP(A43,'Master Data'!$A:$C,2,0),"")</f>
        <v/>
      </c>
      <c r="C43">
        <f>IFERROR(VLOOKUP(A43,'Master Data'!$A:$C,3,0),"")</f>
        <v/>
      </c>
      <c r="E43" s="5" t="n"/>
      <c r="F43" s="6" t="n"/>
      <c r="G43" s="6" t="n"/>
      <c r="H43" s="5" t="n"/>
      <c r="J43" s="6">
        <f>IF(F43="","",F43-G43)</f>
        <v/>
      </c>
      <c r="K43">
        <f>IF(E43="","",IF(D43="Paid","",TODAY()-INT(E43)))</f>
        <v/>
      </c>
      <c r="L43" s="5" t="n"/>
      <c r="M43" s="5" t="n"/>
    </row>
    <row r="44">
      <c r="A44" s="2" t="n"/>
      <c r="B44" s="2">
        <f>IFERROR(VLOOKUP(A44,'Master Data'!$A:$C,2,0),"")</f>
        <v/>
      </c>
      <c r="C44" s="2">
        <f>IFERROR(VLOOKUP(A44,'Master Data'!$A:$C,3,0),"")</f>
        <v/>
      </c>
      <c r="D44" s="2" t="n"/>
      <c r="E44" s="3" t="n"/>
      <c r="F44" s="4" t="n"/>
      <c r="G44" s="4" t="n"/>
      <c r="H44" s="3" t="n"/>
      <c r="I44" s="2" t="n"/>
      <c r="J44" s="4">
        <f>IF(F44="","",F44-G44)</f>
        <v/>
      </c>
      <c r="K44" s="2">
        <f>IF(E44="","",IF(D44="Paid","",TODAY()-INT(E44)))</f>
        <v/>
      </c>
      <c r="L44" s="3" t="n"/>
      <c r="M44" s="3" t="n"/>
      <c r="N44" s="2" t="n"/>
    </row>
    <row r="45">
      <c r="B45">
        <f>IFERROR(VLOOKUP(A45,'Master Data'!$A:$C,2,0),"")</f>
        <v/>
      </c>
      <c r="C45">
        <f>IFERROR(VLOOKUP(A45,'Master Data'!$A:$C,3,0),"")</f>
        <v/>
      </c>
      <c r="E45" s="5" t="n"/>
      <c r="F45" s="6" t="n"/>
      <c r="G45" s="6" t="n"/>
      <c r="H45" s="5" t="n"/>
      <c r="J45" s="6">
        <f>IF(F45="","",F45-G45)</f>
        <v/>
      </c>
      <c r="K45">
        <f>IF(E45="","",IF(D45="Paid","",TODAY()-INT(E45)))</f>
        <v/>
      </c>
      <c r="L45" s="5" t="n"/>
      <c r="M45" s="5" t="n"/>
    </row>
    <row r="46">
      <c r="A46" s="2" t="n"/>
      <c r="B46" s="2">
        <f>IFERROR(VLOOKUP(A46,'Master Data'!$A:$C,2,0),"")</f>
        <v/>
      </c>
      <c r="C46" s="2">
        <f>IFERROR(VLOOKUP(A46,'Master Data'!$A:$C,3,0),"")</f>
        <v/>
      </c>
      <c r="D46" s="2" t="n"/>
      <c r="E46" s="3" t="n"/>
      <c r="F46" s="4" t="n"/>
      <c r="G46" s="4" t="n"/>
      <c r="H46" s="3" t="n"/>
      <c r="I46" s="2" t="n"/>
      <c r="J46" s="4">
        <f>IF(F46="","",F46-G46)</f>
        <v/>
      </c>
      <c r="K46" s="2">
        <f>IF(E46="","",IF(D46="Paid","",TODAY()-INT(E46)))</f>
        <v/>
      </c>
      <c r="L46" s="3" t="n"/>
      <c r="M46" s="3" t="n"/>
      <c r="N46" s="2" t="n"/>
    </row>
    <row r="47">
      <c r="B47">
        <f>IFERROR(VLOOKUP(A47,'Master Data'!$A:$C,2,0),"")</f>
        <v/>
      </c>
      <c r="C47">
        <f>IFERROR(VLOOKUP(A47,'Master Data'!$A:$C,3,0),"")</f>
        <v/>
      </c>
      <c r="E47" s="5" t="n"/>
      <c r="F47" s="6" t="n"/>
      <c r="G47" s="6" t="n"/>
      <c r="H47" s="5" t="n"/>
      <c r="J47" s="6">
        <f>IF(F47="","",F47-G47)</f>
        <v/>
      </c>
      <c r="K47">
        <f>IF(E47="","",IF(D47="Paid","",TODAY()-INT(E47)))</f>
        <v/>
      </c>
      <c r="L47" s="5" t="n"/>
      <c r="M47" s="5" t="n"/>
    </row>
    <row r="48">
      <c r="A48" s="2" t="n"/>
      <c r="B48" s="2">
        <f>IFERROR(VLOOKUP(A48,'Master Data'!$A:$C,2,0),"")</f>
        <v/>
      </c>
      <c r="C48" s="2">
        <f>IFERROR(VLOOKUP(A48,'Master Data'!$A:$C,3,0),"")</f>
        <v/>
      </c>
      <c r="D48" s="2" t="n"/>
      <c r="E48" s="3" t="n"/>
      <c r="F48" s="4" t="n"/>
      <c r="G48" s="4" t="n"/>
      <c r="H48" s="3" t="n"/>
      <c r="I48" s="2" t="n"/>
      <c r="J48" s="4">
        <f>IF(F48="","",F48-G48)</f>
        <v/>
      </c>
      <c r="K48" s="2">
        <f>IF(E48="","",IF(D48="Paid","",TODAY()-INT(E48)))</f>
        <v/>
      </c>
      <c r="L48" s="3" t="n"/>
      <c r="M48" s="3" t="n"/>
      <c r="N48" s="2" t="n"/>
    </row>
    <row r="49">
      <c r="B49">
        <f>IFERROR(VLOOKUP(A49,'Master Data'!$A:$C,2,0),"")</f>
        <v/>
      </c>
      <c r="C49">
        <f>IFERROR(VLOOKUP(A49,'Master Data'!$A:$C,3,0),"")</f>
        <v/>
      </c>
      <c r="E49" s="5" t="n"/>
      <c r="F49" s="6" t="n"/>
      <c r="G49" s="6" t="n"/>
      <c r="H49" s="5" t="n"/>
      <c r="J49" s="6">
        <f>IF(F49="","",F49-G49)</f>
        <v/>
      </c>
      <c r="K49">
        <f>IF(E49="","",IF(D49="Paid","",TODAY()-INT(E49)))</f>
        <v/>
      </c>
      <c r="L49" s="5" t="n"/>
      <c r="M49" s="5" t="n"/>
    </row>
    <row r="50">
      <c r="A50" s="2" t="n"/>
      <c r="B50" s="2">
        <f>IFERROR(VLOOKUP(A50,'Master Data'!$A:$C,2,0),"")</f>
        <v/>
      </c>
      <c r="C50" s="2">
        <f>IFERROR(VLOOKUP(A50,'Master Data'!$A:$C,3,0),"")</f>
        <v/>
      </c>
      <c r="D50" s="2" t="n"/>
      <c r="E50" s="3" t="n"/>
      <c r="F50" s="4" t="n"/>
      <c r="G50" s="4" t="n"/>
      <c r="H50" s="3" t="n"/>
      <c r="I50" s="2" t="n"/>
      <c r="J50" s="4">
        <f>IF(F50="","",F50-G50)</f>
        <v/>
      </c>
      <c r="K50" s="2">
        <f>IF(E50="","",IF(D50="Paid","",TODAY()-INT(E50)))</f>
        <v/>
      </c>
      <c r="L50" s="3" t="n"/>
      <c r="M50" s="3" t="n"/>
      <c r="N50" s="2" t="n"/>
    </row>
    <row r="51">
      <c r="B51">
        <f>IFERROR(VLOOKUP(A51,'Master Data'!$A:$C,2,0),"")</f>
        <v/>
      </c>
      <c r="C51">
        <f>IFERROR(VLOOKUP(A51,'Master Data'!$A:$C,3,0),"")</f>
        <v/>
      </c>
      <c r="E51" s="5" t="n"/>
      <c r="F51" s="6" t="n"/>
      <c r="G51" s="6" t="n"/>
      <c r="H51" s="5" t="n"/>
      <c r="J51" s="6">
        <f>IF(F51="","",F51-G51)</f>
        <v/>
      </c>
      <c r="K51">
        <f>IF(E51="","",IF(D51="Paid","",TODAY()-INT(E51)))</f>
        <v/>
      </c>
      <c r="L51" s="5" t="n"/>
      <c r="M51" s="5" t="n"/>
    </row>
    <row r="52">
      <c r="A52" s="2" t="n"/>
      <c r="B52" s="2">
        <f>IFERROR(VLOOKUP(A52,'Master Data'!$A:$C,2,0),"")</f>
        <v/>
      </c>
      <c r="C52" s="2">
        <f>IFERROR(VLOOKUP(A52,'Master Data'!$A:$C,3,0),"")</f>
        <v/>
      </c>
      <c r="D52" s="2" t="n"/>
      <c r="E52" s="3" t="n"/>
      <c r="F52" s="4" t="n"/>
      <c r="G52" s="4" t="n"/>
      <c r="H52" s="3" t="n"/>
      <c r="I52" s="2" t="n"/>
      <c r="J52" s="4">
        <f>IF(F52="","",F52-G52)</f>
        <v/>
      </c>
      <c r="K52" s="2">
        <f>IF(E52="","",IF(D52="Paid","",TODAY()-INT(E52)))</f>
        <v/>
      </c>
      <c r="L52" s="3" t="n"/>
      <c r="M52" s="3" t="n"/>
      <c r="N52" s="2" t="n"/>
    </row>
    <row r="53">
      <c r="B53">
        <f>IFERROR(VLOOKUP(A53,'Master Data'!$A:$C,2,0),"")</f>
        <v/>
      </c>
      <c r="C53">
        <f>IFERROR(VLOOKUP(A53,'Master Data'!$A:$C,3,0),"")</f>
        <v/>
      </c>
      <c r="E53" s="5" t="n"/>
      <c r="F53" s="6" t="n"/>
      <c r="G53" s="6" t="n"/>
      <c r="H53" s="5" t="n"/>
      <c r="J53" s="6">
        <f>IF(F53="","",F53-G53)</f>
        <v/>
      </c>
      <c r="K53">
        <f>IF(E53="","",IF(D53="Paid","",TODAY()-INT(E53)))</f>
        <v/>
      </c>
      <c r="L53" s="5" t="n"/>
      <c r="M53" s="5" t="n"/>
    </row>
    <row r="54">
      <c r="A54" s="2" t="n"/>
      <c r="B54" s="2">
        <f>IFERROR(VLOOKUP(A54,'Master Data'!$A:$C,2,0),"")</f>
        <v/>
      </c>
      <c r="C54" s="2">
        <f>IFERROR(VLOOKUP(A54,'Master Data'!$A:$C,3,0),"")</f>
        <v/>
      </c>
      <c r="D54" s="2" t="n"/>
      <c r="E54" s="3" t="n"/>
      <c r="F54" s="4" t="n"/>
      <c r="G54" s="4" t="n"/>
      <c r="H54" s="3" t="n"/>
      <c r="I54" s="2" t="n"/>
      <c r="J54" s="4">
        <f>IF(F54="","",F54-G54)</f>
        <v/>
      </c>
      <c r="K54" s="2">
        <f>IF(E54="","",IF(D54="Paid","",TODAY()-INT(E54)))</f>
        <v/>
      </c>
      <c r="L54" s="3" t="n"/>
      <c r="M54" s="3" t="n"/>
      <c r="N54" s="2" t="n"/>
    </row>
    <row r="55">
      <c r="B55">
        <f>IFERROR(VLOOKUP(A55,'Master Data'!$A:$C,2,0),"")</f>
        <v/>
      </c>
      <c r="C55">
        <f>IFERROR(VLOOKUP(A55,'Master Data'!$A:$C,3,0),"")</f>
        <v/>
      </c>
      <c r="E55" s="5" t="n"/>
      <c r="F55" s="6" t="n"/>
      <c r="G55" s="6" t="n"/>
      <c r="H55" s="5" t="n"/>
      <c r="J55" s="6">
        <f>IF(F55="","",F55-G55)</f>
        <v/>
      </c>
      <c r="K55">
        <f>IF(E55="","",IF(D55="Paid","",TODAY()-INT(E55)))</f>
        <v/>
      </c>
      <c r="L55" s="5" t="n"/>
      <c r="M55" s="5" t="n"/>
    </row>
    <row r="56">
      <c r="A56" s="2" t="n"/>
      <c r="B56" s="2">
        <f>IFERROR(VLOOKUP(A56,'Master Data'!$A:$C,2,0),"")</f>
        <v/>
      </c>
      <c r="C56" s="2">
        <f>IFERROR(VLOOKUP(A56,'Master Data'!$A:$C,3,0),"")</f>
        <v/>
      </c>
      <c r="D56" s="2" t="n"/>
      <c r="E56" s="3" t="n"/>
      <c r="F56" s="4" t="n"/>
      <c r="G56" s="4" t="n"/>
      <c r="H56" s="3" t="n"/>
      <c r="I56" s="2" t="n"/>
      <c r="J56" s="4">
        <f>IF(F56="","",F56-G56)</f>
        <v/>
      </c>
      <c r="K56" s="2">
        <f>IF(E56="","",IF(D56="Paid","",TODAY()-INT(E56)))</f>
        <v/>
      </c>
      <c r="L56" s="3" t="n"/>
      <c r="M56" s="3" t="n"/>
      <c r="N56" s="2" t="n"/>
    </row>
    <row r="57">
      <c r="B57">
        <f>IFERROR(VLOOKUP(A57,'Master Data'!$A:$C,2,0),"")</f>
        <v/>
      </c>
      <c r="C57">
        <f>IFERROR(VLOOKUP(A57,'Master Data'!$A:$C,3,0),"")</f>
        <v/>
      </c>
      <c r="E57" s="5" t="n"/>
      <c r="F57" s="6" t="n"/>
      <c r="G57" s="6" t="n"/>
      <c r="H57" s="5" t="n"/>
      <c r="J57" s="6">
        <f>IF(F57="","",F57-G57)</f>
        <v/>
      </c>
      <c r="K57">
        <f>IF(E57="","",IF(D57="Paid","",TODAY()-INT(E57)))</f>
        <v/>
      </c>
      <c r="L57" s="5" t="n"/>
      <c r="M57" s="5" t="n"/>
    </row>
    <row r="58">
      <c r="A58" s="2" t="n"/>
      <c r="B58" s="2">
        <f>IFERROR(VLOOKUP(A58,'Master Data'!$A:$C,2,0),"")</f>
        <v/>
      </c>
      <c r="C58" s="2">
        <f>IFERROR(VLOOKUP(A58,'Master Data'!$A:$C,3,0),"")</f>
        <v/>
      </c>
      <c r="D58" s="2" t="n"/>
      <c r="E58" s="3" t="n"/>
      <c r="F58" s="4" t="n"/>
      <c r="G58" s="4" t="n"/>
      <c r="H58" s="3" t="n"/>
      <c r="I58" s="2" t="n"/>
      <c r="J58" s="4">
        <f>IF(F58="","",F58-G58)</f>
        <v/>
      </c>
      <c r="K58" s="2">
        <f>IF(E58="","",IF(D58="Paid","",TODAY()-INT(E58)))</f>
        <v/>
      </c>
      <c r="L58" s="3" t="n"/>
      <c r="M58" s="3" t="n"/>
      <c r="N58" s="2" t="n"/>
    </row>
    <row r="59">
      <c r="B59">
        <f>IFERROR(VLOOKUP(A59,'Master Data'!$A:$C,2,0),"")</f>
        <v/>
      </c>
      <c r="C59">
        <f>IFERROR(VLOOKUP(A59,'Master Data'!$A:$C,3,0),"")</f>
        <v/>
      </c>
      <c r="E59" s="5" t="n"/>
      <c r="F59" s="6" t="n"/>
      <c r="G59" s="6" t="n"/>
      <c r="H59" s="5" t="n"/>
      <c r="J59" s="6">
        <f>IF(F59="","",F59-G59)</f>
        <v/>
      </c>
      <c r="K59">
        <f>IF(E59="","",IF(D59="Paid","",TODAY()-INT(E59)))</f>
        <v/>
      </c>
      <c r="L59" s="5" t="n"/>
      <c r="M59" s="5" t="n"/>
    </row>
    <row r="60">
      <c r="A60" s="2" t="n"/>
      <c r="B60" s="2">
        <f>IFERROR(VLOOKUP(A60,'Master Data'!$A:$C,2,0),"")</f>
        <v/>
      </c>
      <c r="C60" s="2">
        <f>IFERROR(VLOOKUP(A60,'Master Data'!$A:$C,3,0),"")</f>
        <v/>
      </c>
      <c r="D60" s="2" t="n"/>
      <c r="E60" s="3" t="n"/>
      <c r="F60" s="4" t="n"/>
      <c r="G60" s="4" t="n"/>
      <c r="H60" s="3" t="n"/>
      <c r="I60" s="2" t="n"/>
      <c r="J60" s="4">
        <f>IF(F60="","",F60-G60)</f>
        <v/>
      </c>
      <c r="K60" s="2">
        <f>IF(E60="","",IF(D60="Paid","",TODAY()-INT(E60)))</f>
        <v/>
      </c>
      <c r="L60" s="3" t="n"/>
      <c r="M60" s="3" t="n"/>
      <c r="N60" s="2" t="n"/>
    </row>
    <row r="61">
      <c r="B61">
        <f>IFERROR(VLOOKUP(A61,'Master Data'!$A:$C,2,0),"")</f>
        <v/>
      </c>
      <c r="C61">
        <f>IFERROR(VLOOKUP(A61,'Master Data'!$A:$C,3,0),"")</f>
        <v/>
      </c>
      <c r="E61" s="5" t="n"/>
      <c r="F61" s="6" t="n"/>
      <c r="G61" s="6" t="n"/>
      <c r="H61" s="5" t="n"/>
      <c r="J61" s="6">
        <f>IF(F61="","",F61-G61)</f>
        <v/>
      </c>
      <c r="K61">
        <f>IF(E61="","",IF(D61="Paid","",TODAY()-INT(E61)))</f>
        <v/>
      </c>
      <c r="L61" s="5" t="n"/>
      <c r="M61" s="5" t="n"/>
    </row>
    <row r="62">
      <c r="A62" s="2" t="n"/>
      <c r="B62" s="2">
        <f>IFERROR(VLOOKUP(A62,'Master Data'!$A:$C,2,0),"")</f>
        <v/>
      </c>
      <c r="C62" s="2">
        <f>IFERROR(VLOOKUP(A62,'Master Data'!$A:$C,3,0),"")</f>
        <v/>
      </c>
      <c r="D62" s="2" t="n"/>
      <c r="E62" s="3" t="n"/>
      <c r="F62" s="4" t="n"/>
      <c r="G62" s="4" t="n"/>
      <c r="H62" s="3" t="n"/>
      <c r="I62" s="2" t="n"/>
      <c r="J62" s="4">
        <f>IF(F62="","",F62-G62)</f>
        <v/>
      </c>
      <c r="K62" s="2">
        <f>IF(E62="","",IF(D62="Paid","",TODAY()-INT(E62)))</f>
        <v/>
      </c>
      <c r="L62" s="3" t="n"/>
      <c r="M62" s="3" t="n"/>
      <c r="N62" s="2" t="n"/>
    </row>
    <row r="63">
      <c r="B63">
        <f>IFERROR(VLOOKUP(A63,'Master Data'!$A:$C,2,0),"")</f>
        <v/>
      </c>
      <c r="C63">
        <f>IFERROR(VLOOKUP(A63,'Master Data'!$A:$C,3,0),"")</f>
        <v/>
      </c>
      <c r="E63" s="5" t="n"/>
      <c r="F63" s="6" t="n"/>
      <c r="G63" s="6" t="n"/>
      <c r="H63" s="5" t="n"/>
      <c r="J63" s="6">
        <f>IF(F63="","",F63-G63)</f>
        <v/>
      </c>
      <c r="K63">
        <f>IF(E63="","",IF(D63="Paid","",TODAY()-INT(E63)))</f>
        <v/>
      </c>
      <c r="L63" s="5" t="n"/>
      <c r="M63" s="5" t="n"/>
    </row>
    <row r="64">
      <c r="A64" s="2" t="n"/>
      <c r="B64" s="2">
        <f>IFERROR(VLOOKUP(A64,'Master Data'!$A:$C,2,0),"")</f>
        <v/>
      </c>
      <c r="C64" s="2">
        <f>IFERROR(VLOOKUP(A64,'Master Data'!$A:$C,3,0),"")</f>
        <v/>
      </c>
      <c r="D64" s="2" t="n"/>
      <c r="E64" s="3" t="n"/>
      <c r="F64" s="4" t="n"/>
      <c r="G64" s="4" t="n"/>
      <c r="H64" s="3" t="n"/>
      <c r="I64" s="2" t="n"/>
      <c r="J64" s="4">
        <f>IF(F64="","",F64-G64)</f>
        <v/>
      </c>
      <c r="K64" s="2">
        <f>IF(E64="","",IF(D64="Paid","",TODAY()-INT(E64)))</f>
        <v/>
      </c>
      <c r="L64" s="3" t="n"/>
      <c r="M64" s="3" t="n"/>
      <c r="N64" s="2" t="n"/>
    </row>
    <row r="65">
      <c r="B65">
        <f>IFERROR(VLOOKUP(A65,'Master Data'!$A:$C,2,0),"")</f>
        <v/>
      </c>
      <c r="C65">
        <f>IFERROR(VLOOKUP(A65,'Master Data'!$A:$C,3,0),"")</f>
        <v/>
      </c>
      <c r="E65" s="5" t="n"/>
      <c r="F65" s="6" t="n"/>
      <c r="G65" s="6" t="n"/>
      <c r="H65" s="5" t="n"/>
      <c r="J65" s="6">
        <f>IF(F65="","",F65-G65)</f>
        <v/>
      </c>
      <c r="K65">
        <f>IF(E65="","",IF(D65="Paid","",TODAY()-INT(E65)))</f>
        <v/>
      </c>
      <c r="L65" s="5" t="n"/>
      <c r="M65" s="5" t="n"/>
    </row>
    <row r="66">
      <c r="A66" s="2" t="n"/>
      <c r="B66" s="2">
        <f>IFERROR(VLOOKUP(A66,'Master Data'!$A:$C,2,0),"")</f>
        <v/>
      </c>
      <c r="C66" s="2">
        <f>IFERROR(VLOOKUP(A66,'Master Data'!$A:$C,3,0),"")</f>
        <v/>
      </c>
      <c r="D66" s="2" t="n"/>
      <c r="E66" s="3" t="n"/>
      <c r="F66" s="4" t="n"/>
      <c r="G66" s="4" t="n"/>
      <c r="H66" s="3" t="n"/>
      <c r="I66" s="2" t="n"/>
      <c r="J66" s="4">
        <f>IF(F66="","",F66-G66)</f>
        <v/>
      </c>
      <c r="K66" s="2">
        <f>IF(E66="","",IF(D66="Paid","",TODAY()-INT(E66)))</f>
        <v/>
      </c>
      <c r="L66" s="3" t="n"/>
      <c r="M66" s="3" t="n"/>
      <c r="N66" s="2" t="n"/>
    </row>
    <row r="67">
      <c r="B67">
        <f>IFERROR(VLOOKUP(A67,'Master Data'!$A:$C,2,0),"")</f>
        <v/>
      </c>
      <c r="C67">
        <f>IFERROR(VLOOKUP(A67,'Master Data'!$A:$C,3,0),"")</f>
        <v/>
      </c>
      <c r="E67" s="5" t="n"/>
      <c r="F67" s="6" t="n"/>
      <c r="G67" s="6" t="n"/>
      <c r="H67" s="5" t="n"/>
      <c r="J67" s="6">
        <f>IF(F67="","",F67-G67)</f>
        <v/>
      </c>
      <c r="K67">
        <f>IF(E67="","",IF(D67="Paid","",TODAY()-INT(E67)))</f>
        <v/>
      </c>
      <c r="L67" s="5" t="n"/>
      <c r="M67" s="5" t="n"/>
    </row>
    <row r="68">
      <c r="A68" s="2" t="n"/>
      <c r="B68" s="2">
        <f>IFERROR(VLOOKUP(A68,'Master Data'!$A:$C,2,0),"")</f>
        <v/>
      </c>
      <c r="C68" s="2">
        <f>IFERROR(VLOOKUP(A68,'Master Data'!$A:$C,3,0),"")</f>
        <v/>
      </c>
      <c r="D68" s="2" t="n"/>
      <c r="E68" s="3" t="n"/>
      <c r="F68" s="4" t="n"/>
      <c r="G68" s="4" t="n"/>
      <c r="H68" s="3" t="n"/>
      <c r="I68" s="2" t="n"/>
      <c r="J68" s="4">
        <f>IF(F68="","",F68-G68)</f>
        <v/>
      </c>
      <c r="K68" s="2">
        <f>IF(E68="","",IF(D68="Paid","",TODAY()-INT(E68)))</f>
        <v/>
      </c>
      <c r="L68" s="3" t="n"/>
      <c r="M68" s="3" t="n"/>
      <c r="N68" s="2" t="n"/>
    </row>
    <row r="69">
      <c r="B69">
        <f>IFERROR(VLOOKUP(A69,'Master Data'!$A:$C,2,0),"")</f>
        <v/>
      </c>
      <c r="C69">
        <f>IFERROR(VLOOKUP(A69,'Master Data'!$A:$C,3,0),"")</f>
        <v/>
      </c>
      <c r="E69" s="5" t="n"/>
      <c r="F69" s="6" t="n"/>
      <c r="G69" s="6" t="n"/>
      <c r="H69" s="5" t="n"/>
      <c r="J69" s="6">
        <f>IF(F69="","",F69-G69)</f>
        <v/>
      </c>
      <c r="K69">
        <f>IF(E69="","",IF(D69="Paid","",TODAY()-INT(E69)))</f>
        <v/>
      </c>
      <c r="L69" s="5" t="n"/>
      <c r="M69" s="5" t="n"/>
    </row>
    <row r="70">
      <c r="A70" s="2" t="n"/>
      <c r="B70" s="2">
        <f>IFERROR(VLOOKUP(A70,'Master Data'!$A:$C,2,0),"")</f>
        <v/>
      </c>
      <c r="C70" s="2">
        <f>IFERROR(VLOOKUP(A70,'Master Data'!$A:$C,3,0),"")</f>
        <v/>
      </c>
      <c r="D70" s="2" t="n"/>
      <c r="E70" s="3" t="n"/>
      <c r="F70" s="4" t="n"/>
      <c r="G70" s="4" t="n"/>
      <c r="H70" s="3" t="n"/>
      <c r="I70" s="2" t="n"/>
      <c r="J70" s="4">
        <f>IF(F70="","",F70-G70)</f>
        <v/>
      </c>
      <c r="K70" s="2">
        <f>IF(E70="","",IF(D70="Paid","",TODAY()-INT(E70)))</f>
        <v/>
      </c>
      <c r="L70" s="3" t="n"/>
      <c r="M70" s="3" t="n"/>
      <c r="N70" s="2" t="n"/>
    </row>
    <row r="71">
      <c r="B71">
        <f>IFERROR(VLOOKUP(A71,'Master Data'!$A:$C,2,0),"")</f>
        <v/>
      </c>
      <c r="C71">
        <f>IFERROR(VLOOKUP(A71,'Master Data'!$A:$C,3,0),"")</f>
        <v/>
      </c>
      <c r="E71" s="5" t="n"/>
      <c r="F71" s="6" t="n"/>
      <c r="G71" s="6" t="n"/>
      <c r="H71" s="5" t="n"/>
      <c r="J71" s="6">
        <f>IF(F71="","",F71-G71)</f>
        <v/>
      </c>
      <c r="K71">
        <f>IF(E71="","",IF(D71="Paid","",TODAY()-INT(E71)))</f>
        <v/>
      </c>
      <c r="L71" s="5" t="n"/>
      <c r="M71" s="5" t="n"/>
    </row>
    <row r="72">
      <c r="A72" s="2" t="n"/>
      <c r="B72" s="2">
        <f>IFERROR(VLOOKUP(A72,'Master Data'!$A:$C,2,0),"")</f>
        <v/>
      </c>
      <c r="C72" s="2">
        <f>IFERROR(VLOOKUP(A72,'Master Data'!$A:$C,3,0),"")</f>
        <v/>
      </c>
      <c r="D72" s="2" t="n"/>
      <c r="E72" s="3" t="n"/>
      <c r="F72" s="4" t="n"/>
      <c r="G72" s="4" t="n"/>
      <c r="H72" s="3" t="n"/>
      <c r="I72" s="2" t="n"/>
      <c r="J72" s="4">
        <f>IF(F72="","",F72-G72)</f>
        <v/>
      </c>
      <c r="K72" s="2">
        <f>IF(E72="","",IF(D72="Paid","",TODAY()-INT(E72)))</f>
        <v/>
      </c>
      <c r="L72" s="3" t="n"/>
      <c r="M72" s="3" t="n"/>
      <c r="N72" s="2" t="n"/>
    </row>
    <row r="73">
      <c r="B73">
        <f>IFERROR(VLOOKUP(A73,'Master Data'!$A:$C,2,0),"")</f>
        <v/>
      </c>
      <c r="C73">
        <f>IFERROR(VLOOKUP(A73,'Master Data'!$A:$C,3,0),"")</f>
        <v/>
      </c>
      <c r="E73" s="5" t="n"/>
      <c r="F73" s="6" t="n"/>
      <c r="G73" s="6" t="n"/>
      <c r="H73" s="5" t="n"/>
      <c r="J73" s="6">
        <f>IF(F73="","",F73-G73)</f>
        <v/>
      </c>
      <c r="K73">
        <f>IF(E73="","",IF(D73="Paid","",TODAY()-INT(E73)))</f>
        <v/>
      </c>
      <c r="L73" s="5" t="n"/>
      <c r="M73" s="5" t="n"/>
    </row>
    <row r="74">
      <c r="A74" s="2" t="n"/>
      <c r="B74" s="2">
        <f>IFERROR(VLOOKUP(A74,'Master Data'!$A:$C,2,0),"")</f>
        <v/>
      </c>
      <c r="C74" s="2">
        <f>IFERROR(VLOOKUP(A74,'Master Data'!$A:$C,3,0),"")</f>
        <v/>
      </c>
      <c r="D74" s="2" t="n"/>
      <c r="E74" s="3" t="n"/>
      <c r="F74" s="4" t="n"/>
      <c r="G74" s="4" t="n"/>
      <c r="H74" s="3" t="n"/>
      <c r="I74" s="2" t="n"/>
      <c r="J74" s="4">
        <f>IF(F74="","",F74-G74)</f>
        <v/>
      </c>
      <c r="K74" s="2">
        <f>IF(E74="","",IF(D74="Paid","",TODAY()-INT(E74)))</f>
        <v/>
      </c>
      <c r="L74" s="3" t="n"/>
      <c r="M74" s="3" t="n"/>
      <c r="N74" s="2" t="n"/>
    </row>
    <row r="75">
      <c r="B75">
        <f>IFERROR(VLOOKUP(A75,'Master Data'!$A:$C,2,0),"")</f>
        <v/>
      </c>
      <c r="C75">
        <f>IFERROR(VLOOKUP(A75,'Master Data'!$A:$C,3,0),"")</f>
        <v/>
      </c>
      <c r="E75" s="5" t="n"/>
      <c r="F75" s="6" t="n"/>
      <c r="G75" s="6" t="n"/>
      <c r="H75" s="5" t="n"/>
      <c r="J75" s="6">
        <f>IF(F75="","",F75-G75)</f>
        <v/>
      </c>
      <c r="K75">
        <f>IF(E75="","",IF(D75="Paid","",TODAY()-INT(E75)))</f>
        <v/>
      </c>
      <c r="L75" s="5" t="n"/>
      <c r="M75" s="5" t="n"/>
    </row>
    <row r="76">
      <c r="A76" s="2" t="n"/>
      <c r="B76" s="2">
        <f>IFERROR(VLOOKUP(A76,'Master Data'!$A:$C,2,0),"")</f>
        <v/>
      </c>
      <c r="C76" s="2">
        <f>IFERROR(VLOOKUP(A76,'Master Data'!$A:$C,3,0),"")</f>
        <v/>
      </c>
      <c r="D76" s="2" t="n"/>
      <c r="E76" s="3" t="n"/>
      <c r="F76" s="4" t="n"/>
      <c r="G76" s="4" t="n"/>
      <c r="H76" s="3" t="n"/>
      <c r="I76" s="2" t="n"/>
      <c r="J76" s="4">
        <f>IF(F76="","",F76-G76)</f>
        <v/>
      </c>
      <c r="K76" s="2">
        <f>IF(E76="","",IF(D76="Paid","",TODAY()-INT(E76)))</f>
        <v/>
      </c>
      <c r="L76" s="3" t="n"/>
      <c r="M76" s="3" t="n"/>
      <c r="N76" s="2" t="n"/>
    </row>
    <row r="77">
      <c r="B77">
        <f>IFERROR(VLOOKUP(A77,'Master Data'!$A:$C,2,0),"")</f>
        <v/>
      </c>
      <c r="C77">
        <f>IFERROR(VLOOKUP(A77,'Master Data'!$A:$C,3,0),"")</f>
        <v/>
      </c>
      <c r="E77" s="5" t="n"/>
      <c r="F77" s="6" t="n"/>
      <c r="G77" s="6" t="n"/>
      <c r="H77" s="5" t="n"/>
      <c r="J77" s="6">
        <f>IF(F77="","",F77-G77)</f>
        <v/>
      </c>
      <c r="K77">
        <f>IF(E77="","",IF(D77="Paid","",TODAY()-INT(E77)))</f>
        <v/>
      </c>
      <c r="L77" s="5" t="n"/>
      <c r="M77" s="5" t="n"/>
    </row>
    <row r="78">
      <c r="A78" s="2" t="n"/>
      <c r="B78" s="2">
        <f>IFERROR(VLOOKUP(A78,'Master Data'!$A:$C,2,0),"")</f>
        <v/>
      </c>
      <c r="C78" s="2">
        <f>IFERROR(VLOOKUP(A78,'Master Data'!$A:$C,3,0),"")</f>
        <v/>
      </c>
      <c r="D78" s="2" t="n"/>
      <c r="E78" s="3" t="n"/>
      <c r="F78" s="4" t="n"/>
      <c r="G78" s="4" t="n"/>
      <c r="H78" s="3" t="n"/>
      <c r="I78" s="2" t="n"/>
      <c r="J78" s="4">
        <f>IF(F78="","",F78-G78)</f>
        <v/>
      </c>
      <c r="K78" s="2">
        <f>IF(E78="","",IF(D78="Paid","",TODAY()-INT(E78)))</f>
        <v/>
      </c>
      <c r="L78" s="3" t="n"/>
      <c r="M78" s="3" t="n"/>
      <c r="N78" s="2" t="n"/>
    </row>
    <row r="79">
      <c r="B79">
        <f>IFERROR(VLOOKUP(A79,'Master Data'!$A:$C,2,0),"")</f>
        <v/>
      </c>
      <c r="C79">
        <f>IFERROR(VLOOKUP(A79,'Master Data'!$A:$C,3,0),"")</f>
        <v/>
      </c>
      <c r="E79" s="5" t="n"/>
      <c r="F79" s="6" t="n"/>
      <c r="G79" s="6" t="n"/>
      <c r="H79" s="5" t="n"/>
      <c r="J79" s="6">
        <f>IF(F79="","",F79-G79)</f>
        <v/>
      </c>
      <c r="K79">
        <f>IF(E79="","",IF(D79="Paid","",TODAY()-INT(E79)))</f>
        <v/>
      </c>
      <c r="L79" s="5" t="n"/>
      <c r="M79" s="5" t="n"/>
    </row>
    <row r="80">
      <c r="A80" s="2" t="n"/>
      <c r="B80" s="2">
        <f>IFERROR(VLOOKUP(A80,'Master Data'!$A:$C,2,0),"")</f>
        <v/>
      </c>
      <c r="C80" s="2">
        <f>IFERROR(VLOOKUP(A80,'Master Data'!$A:$C,3,0),"")</f>
        <v/>
      </c>
      <c r="D80" s="2" t="n"/>
      <c r="E80" s="3" t="n"/>
      <c r="F80" s="4" t="n"/>
      <c r="G80" s="4" t="n"/>
      <c r="H80" s="3" t="n"/>
      <c r="I80" s="2" t="n"/>
      <c r="J80" s="4">
        <f>IF(F80="","",F80-G80)</f>
        <v/>
      </c>
      <c r="K80" s="2">
        <f>IF(E80="","",IF(D80="Paid","",TODAY()-INT(E80)))</f>
        <v/>
      </c>
      <c r="L80" s="3" t="n"/>
      <c r="M80" s="3" t="n"/>
      <c r="N80" s="2" t="n"/>
    </row>
    <row r="81">
      <c r="B81">
        <f>IFERROR(VLOOKUP(A81,'Master Data'!$A:$C,2,0),"")</f>
        <v/>
      </c>
      <c r="C81">
        <f>IFERROR(VLOOKUP(A81,'Master Data'!$A:$C,3,0),"")</f>
        <v/>
      </c>
      <c r="E81" s="5" t="n"/>
      <c r="F81" s="6" t="n"/>
      <c r="G81" s="6" t="n"/>
      <c r="H81" s="5" t="n"/>
      <c r="J81" s="6">
        <f>IF(F81="","",F81-G81)</f>
        <v/>
      </c>
      <c r="K81">
        <f>IF(E81="","",IF(D81="Paid","",TODAY()-INT(E81)))</f>
        <v/>
      </c>
      <c r="L81" s="5" t="n"/>
      <c r="M81" s="5" t="n"/>
    </row>
    <row r="82">
      <c r="A82" s="2" t="n"/>
      <c r="B82" s="2">
        <f>IFERROR(VLOOKUP(A82,'Master Data'!$A:$C,2,0),"")</f>
        <v/>
      </c>
      <c r="C82" s="2">
        <f>IFERROR(VLOOKUP(A82,'Master Data'!$A:$C,3,0),"")</f>
        <v/>
      </c>
      <c r="D82" s="2" t="n"/>
      <c r="E82" s="3" t="n"/>
      <c r="F82" s="4" t="n"/>
      <c r="G82" s="4" t="n"/>
      <c r="H82" s="3" t="n"/>
      <c r="I82" s="2" t="n"/>
      <c r="J82" s="4">
        <f>IF(F82="","",F82-G82)</f>
        <v/>
      </c>
      <c r="K82" s="2">
        <f>IF(E82="","",IF(D82="Paid","",TODAY()-INT(E82)))</f>
        <v/>
      </c>
      <c r="L82" s="3" t="n"/>
      <c r="M82" s="3" t="n"/>
      <c r="N82" s="2" t="n"/>
    </row>
    <row r="83">
      <c r="B83">
        <f>IFERROR(VLOOKUP(A83,'Master Data'!$A:$C,2,0),"")</f>
        <v/>
      </c>
      <c r="C83">
        <f>IFERROR(VLOOKUP(A83,'Master Data'!$A:$C,3,0),"")</f>
        <v/>
      </c>
      <c r="E83" s="5" t="n"/>
      <c r="F83" s="6" t="n"/>
      <c r="G83" s="6" t="n"/>
      <c r="H83" s="5" t="n"/>
      <c r="J83" s="6">
        <f>IF(F83="","",F83-G83)</f>
        <v/>
      </c>
      <c r="K83">
        <f>IF(E83="","",IF(D83="Paid","",TODAY()-INT(E83)))</f>
        <v/>
      </c>
      <c r="L83" s="5" t="n"/>
      <c r="M83" s="5" t="n"/>
    </row>
    <row r="84">
      <c r="A84" s="2" t="n"/>
      <c r="B84" s="2">
        <f>IFERROR(VLOOKUP(A84,'Master Data'!$A:$C,2,0),"")</f>
        <v/>
      </c>
      <c r="C84" s="2">
        <f>IFERROR(VLOOKUP(A84,'Master Data'!$A:$C,3,0),"")</f>
        <v/>
      </c>
      <c r="D84" s="2" t="n"/>
      <c r="E84" s="3" t="n"/>
      <c r="F84" s="4" t="n"/>
      <c r="G84" s="4" t="n"/>
      <c r="H84" s="3" t="n"/>
      <c r="I84" s="2" t="n"/>
      <c r="J84" s="4">
        <f>IF(F84="","",F84-G84)</f>
        <v/>
      </c>
      <c r="K84" s="2">
        <f>IF(E84="","",IF(D84="Paid","",TODAY()-INT(E84)))</f>
        <v/>
      </c>
      <c r="L84" s="3" t="n"/>
      <c r="M84" s="3" t="n"/>
      <c r="N84" s="2" t="n"/>
    </row>
    <row r="85">
      <c r="B85">
        <f>IFERROR(VLOOKUP(A85,'Master Data'!$A:$C,2,0),"")</f>
        <v/>
      </c>
      <c r="C85">
        <f>IFERROR(VLOOKUP(A85,'Master Data'!$A:$C,3,0),"")</f>
        <v/>
      </c>
      <c r="E85" s="5" t="n"/>
      <c r="F85" s="6" t="n"/>
      <c r="G85" s="6" t="n"/>
      <c r="H85" s="5" t="n"/>
      <c r="J85" s="6">
        <f>IF(F85="","",F85-G85)</f>
        <v/>
      </c>
      <c r="K85">
        <f>IF(E85="","",IF(D85="Paid","",TODAY()-INT(E85)))</f>
        <v/>
      </c>
      <c r="L85" s="5" t="n"/>
      <c r="M85" s="5" t="n"/>
    </row>
    <row r="86">
      <c r="A86" s="2" t="n"/>
      <c r="B86" s="2">
        <f>IFERROR(VLOOKUP(A86,'Master Data'!$A:$C,2,0),"")</f>
        <v/>
      </c>
      <c r="C86" s="2">
        <f>IFERROR(VLOOKUP(A86,'Master Data'!$A:$C,3,0),"")</f>
        <v/>
      </c>
      <c r="D86" s="2" t="n"/>
      <c r="E86" s="3" t="n"/>
      <c r="F86" s="4" t="n"/>
      <c r="G86" s="4" t="n"/>
      <c r="H86" s="3" t="n"/>
      <c r="I86" s="2" t="n"/>
      <c r="J86" s="4">
        <f>IF(F86="","",F86-G86)</f>
        <v/>
      </c>
      <c r="K86" s="2">
        <f>IF(E86="","",IF(D86="Paid","",TODAY()-INT(E86)))</f>
        <v/>
      </c>
      <c r="L86" s="3" t="n"/>
      <c r="M86" s="3" t="n"/>
      <c r="N86" s="2" t="n"/>
    </row>
    <row r="87">
      <c r="B87">
        <f>IFERROR(VLOOKUP(A87,'Master Data'!$A:$C,2,0),"")</f>
        <v/>
      </c>
      <c r="C87">
        <f>IFERROR(VLOOKUP(A87,'Master Data'!$A:$C,3,0),"")</f>
        <v/>
      </c>
      <c r="E87" s="5" t="n"/>
      <c r="F87" s="6" t="n"/>
      <c r="G87" s="6" t="n"/>
      <c r="H87" s="5" t="n"/>
      <c r="J87" s="6">
        <f>IF(F87="","",F87-G87)</f>
        <v/>
      </c>
      <c r="K87">
        <f>IF(E87="","",IF(D87="Paid","",TODAY()-INT(E87)))</f>
        <v/>
      </c>
      <c r="L87" s="5" t="n"/>
      <c r="M87" s="5" t="n"/>
    </row>
    <row r="88">
      <c r="A88" s="2" t="n"/>
      <c r="B88" s="2">
        <f>IFERROR(VLOOKUP(A88,'Master Data'!$A:$C,2,0),"")</f>
        <v/>
      </c>
      <c r="C88" s="2">
        <f>IFERROR(VLOOKUP(A88,'Master Data'!$A:$C,3,0),"")</f>
        <v/>
      </c>
      <c r="D88" s="2" t="n"/>
      <c r="E88" s="3" t="n"/>
      <c r="F88" s="4" t="n"/>
      <c r="G88" s="4" t="n"/>
      <c r="H88" s="3" t="n"/>
      <c r="I88" s="2" t="n"/>
      <c r="J88" s="4">
        <f>IF(F88="","",F88-G88)</f>
        <v/>
      </c>
      <c r="K88" s="2">
        <f>IF(E88="","",IF(D88="Paid","",TODAY()-INT(E88)))</f>
        <v/>
      </c>
      <c r="L88" s="3" t="n"/>
      <c r="M88" s="3" t="n"/>
      <c r="N88" s="2" t="n"/>
    </row>
    <row r="89">
      <c r="B89">
        <f>IFERROR(VLOOKUP(A89,'Master Data'!$A:$C,2,0),"")</f>
        <v/>
      </c>
      <c r="C89">
        <f>IFERROR(VLOOKUP(A89,'Master Data'!$A:$C,3,0),"")</f>
        <v/>
      </c>
      <c r="E89" s="5" t="n"/>
      <c r="F89" s="6" t="n"/>
      <c r="G89" s="6" t="n"/>
      <c r="H89" s="5" t="n"/>
      <c r="J89" s="6">
        <f>IF(F89="","",F89-G89)</f>
        <v/>
      </c>
      <c r="K89">
        <f>IF(E89="","",IF(D89="Paid","",TODAY()-INT(E89)))</f>
        <v/>
      </c>
      <c r="L89" s="5" t="n"/>
      <c r="M89" s="5" t="n"/>
    </row>
    <row r="90">
      <c r="A90" s="2" t="n"/>
      <c r="B90" s="2">
        <f>IFERROR(VLOOKUP(A90,'Master Data'!$A:$C,2,0),"")</f>
        <v/>
      </c>
      <c r="C90" s="2">
        <f>IFERROR(VLOOKUP(A90,'Master Data'!$A:$C,3,0),"")</f>
        <v/>
      </c>
      <c r="D90" s="2" t="n"/>
      <c r="E90" s="3" t="n"/>
      <c r="F90" s="4" t="n"/>
      <c r="G90" s="4" t="n"/>
      <c r="H90" s="3" t="n"/>
      <c r="I90" s="2" t="n"/>
      <c r="J90" s="4">
        <f>IF(F90="","",F90-G90)</f>
        <v/>
      </c>
      <c r="K90" s="2">
        <f>IF(E90="","",IF(D90="Paid","",TODAY()-INT(E90)))</f>
        <v/>
      </c>
      <c r="L90" s="3" t="n"/>
      <c r="M90" s="3" t="n"/>
      <c r="N90" s="2" t="n"/>
    </row>
    <row r="91">
      <c r="B91">
        <f>IFERROR(VLOOKUP(A91,'Master Data'!$A:$C,2,0),"")</f>
        <v/>
      </c>
      <c r="C91">
        <f>IFERROR(VLOOKUP(A91,'Master Data'!$A:$C,3,0),"")</f>
        <v/>
      </c>
      <c r="E91" s="5" t="n"/>
      <c r="F91" s="6" t="n"/>
      <c r="G91" s="6" t="n"/>
      <c r="H91" s="5" t="n"/>
      <c r="J91" s="6">
        <f>IF(F91="","",F91-G91)</f>
        <v/>
      </c>
      <c r="K91">
        <f>IF(E91="","",IF(D91="Paid","",TODAY()-INT(E91)))</f>
        <v/>
      </c>
      <c r="L91" s="5" t="n"/>
      <c r="M91" s="5" t="n"/>
    </row>
    <row r="92">
      <c r="A92" s="2" t="n"/>
      <c r="B92" s="2">
        <f>IFERROR(VLOOKUP(A92,'Master Data'!$A:$C,2,0),"")</f>
        <v/>
      </c>
      <c r="C92" s="2">
        <f>IFERROR(VLOOKUP(A92,'Master Data'!$A:$C,3,0),"")</f>
        <v/>
      </c>
      <c r="D92" s="2" t="n"/>
      <c r="E92" s="3" t="n"/>
      <c r="F92" s="4" t="n"/>
      <c r="G92" s="4" t="n"/>
      <c r="H92" s="3" t="n"/>
      <c r="I92" s="2" t="n"/>
      <c r="J92" s="4">
        <f>IF(F92="","",F92-G92)</f>
        <v/>
      </c>
      <c r="K92" s="2">
        <f>IF(E92="","",IF(D92="Paid","",TODAY()-INT(E92)))</f>
        <v/>
      </c>
      <c r="L92" s="3" t="n"/>
      <c r="M92" s="3" t="n"/>
      <c r="N92" s="2" t="n"/>
    </row>
    <row r="93">
      <c r="B93">
        <f>IFERROR(VLOOKUP(A93,'Master Data'!$A:$C,2,0),"")</f>
        <v/>
      </c>
      <c r="C93">
        <f>IFERROR(VLOOKUP(A93,'Master Data'!$A:$C,3,0),"")</f>
        <v/>
      </c>
      <c r="E93" s="5" t="n"/>
      <c r="F93" s="6" t="n"/>
      <c r="G93" s="6" t="n"/>
      <c r="H93" s="5" t="n"/>
      <c r="J93" s="6">
        <f>IF(F93="","",F93-G93)</f>
        <v/>
      </c>
      <c r="K93">
        <f>IF(E93="","",IF(D93="Paid","",TODAY()-INT(E93)))</f>
        <v/>
      </c>
      <c r="L93" s="5" t="n"/>
      <c r="M93" s="5" t="n"/>
    </row>
    <row r="94">
      <c r="A94" s="2" t="n"/>
      <c r="B94" s="2">
        <f>IFERROR(VLOOKUP(A94,'Master Data'!$A:$C,2,0),"")</f>
        <v/>
      </c>
      <c r="C94" s="2">
        <f>IFERROR(VLOOKUP(A94,'Master Data'!$A:$C,3,0),"")</f>
        <v/>
      </c>
      <c r="D94" s="2" t="n"/>
      <c r="E94" s="3" t="n"/>
      <c r="F94" s="4" t="n"/>
      <c r="G94" s="4" t="n"/>
      <c r="H94" s="3" t="n"/>
      <c r="I94" s="2" t="n"/>
      <c r="J94" s="4">
        <f>IF(F94="","",F94-G94)</f>
        <v/>
      </c>
      <c r="K94" s="2">
        <f>IF(E94="","",IF(D94="Paid","",TODAY()-INT(E94)))</f>
        <v/>
      </c>
      <c r="L94" s="3" t="n"/>
      <c r="M94" s="3" t="n"/>
      <c r="N94" s="2" t="n"/>
    </row>
    <row r="95">
      <c r="B95">
        <f>IFERROR(VLOOKUP(A95,'Master Data'!$A:$C,2,0),"")</f>
        <v/>
      </c>
      <c r="C95">
        <f>IFERROR(VLOOKUP(A95,'Master Data'!$A:$C,3,0),"")</f>
        <v/>
      </c>
      <c r="E95" s="5" t="n"/>
      <c r="F95" s="6" t="n"/>
      <c r="G95" s="6" t="n"/>
      <c r="H95" s="5" t="n"/>
      <c r="J95" s="6">
        <f>IF(F95="","",F95-G95)</f>
        <v/>
      </c>
      <c r="K95">
        <f>IF(E95="","",IF(D95="Paid","",TODAY()-INT(E95)))</f>
        <v/>
      </c>
      <c r="L95" s="5" t="n"/>
      <c r="M95" s="5" t="n"/>
    </row>
    <row r="96">
      <c r="A96" s="2" t="n"/>
      <c r="B96" s="2">
        <f>IFERROR(VLOOKUP(A96,'Master Data'!$A:$C,2,0),"")</f>
        <v/>
      </c>
      <c r="C96" s="2">
        <f>IFERROR(VLOOKUP(A96,'Master Data'!$A:$C,3,0),"")</f>
        <v/>
      </c>
      <c r="D96" s="2" t="n"/>
      <c r="E96" s="3" t="n"/>
      <c r="F96" s="4" t="n"/>
      <c r="G96" s="4" t="n"/>
      <c r="H96" s="3" t="n"/>
      <c r="I96" s="2" t="n"/>
      <c r="J96" s="4">
        <f>IF(F96="","",F96-G96)</f>
        <v/>
      </c>
      <c r="K96" s="2">
        <f>IF(E96="","",IF(D96="Paid","",TODAY()-INT(E96)))</f>
        <v/>
      </c>
      <c r="L96" s="3" t="n"/>
      <c r="M96" s="3" t="n"/>
      <c r="N96" s="2" t="n"/>
    </row>
    <row r="97">
      <c r="B97">
        <f>IFERROR(VLOOKUP(A97,'Master Data'!$A:$C,2,0),"")</f>
        <v/>
      </c>
      <c r="C97">
        <f>IFERROR(VLOOKUP(A97,'Master Data'!$A:$C,3,0),"")</f>
        <v/>
      </c>
      <c r="E97" s="5" t="n"/>
      <c r="F97" s="6" t="n"/>
      <c r="G97" s="6" t="n"/>
      <c r="H97" s="5" t="n"/>
      <c r="J97" s="6">
        <f>IF(F97="","",F97-G97)</f>
        <v/>
      </c>
      <c r="K97">
        <f>IF(E97="","",IF(D97="Paid","",TODAY()-INT(E97)))</f>
        <v/>
      </c>
      <c r="L97" s="5" t="n"/>
      <c r="M97" s="5" t="n"/>
    </row>
    <row r="98">
      <c r="A98" s="2" t="n"/>
      <c r="B98" s="2">
        <f>IFERROR(VLOOKUP(A98,'Master Data'!$A:$C,2,0),"")</f>
        <v/>
      </c>
      <c r="C98" s="2">
        <f>IFERROR(VLOOKUP(A98,'Master Data'!$A:$C,3,0),"")</f>
        <v/>
      </c>
      <c r="D98" s="2" t="n"/>
      <c r="E98" s="3" t="n"/>
      <c r="F98" s="4" t="n"/>
      <c r="G98" s="4" t="n"/>
      <c r="H98" s="3" t="n"/>
      <c r="I98" s="2" t="n"/>
      <c r="J98" s="4">
        <f>IF(F98="","",F98-G98)</f>
        <v/>
      </c>
      <c r="K98" s="2">
        <f>IF(E98="","",IF(D98="Paid","",TODAY()-INT(E98)))</f>
        <v/>
      </c>
      <c r="L98" s="3" t="n"/>
      <c r="M98" s="3" t="n"/>
      <c r="N98" s="2" t="n"/>
    </row>
    <row r="99">
      <c r="B99">
        <f>IFERROR(VLOOKUP(A99,'Master Data'!$A:$C,2,0),"")</f>
        <v/>
      </c>
      <c r="C99">
        <f>IFERROR(VLOOKUP(A99,'Master Data'!$A:$C,3,0),"")</f>
        <v/>
      </c>
      <c r="E99" s="5" t="n"/>
      <c r="F99" s="6" t="n"/>
      <c r="G99" s="6" t="n"/>
      <c r="H99" s="5" t="n"/>
      <c r="J99" s="6">
        <f>IF(F99="","",F99-G99)</f>
        <v/>
      </c>
      <c r="K99">
        <f>IF(E99="","",IF(D99="Paid","",TODAY()-INT(E99)))</f>
        <v/>
      </c>
      <c r="L99" s="5" t="n"/>
      <c r="M99" s="5" t="n"/>
    </row>
    <row r="100">
      <c r="A100" s="2" t="n"/>
      <c r="B100" s="2">
        <f>IFERROR(VLOOKUP(A100,'Master Data'!$A:$C,2,0),"")</f>
        <v/>
      </c>
      <c r="C100" s="2">
        <f>IFERROR(VLOOKUP(A100,'Master Data'!$A:$C,3,0),"")</f>
        <v/>
      </c>
      <c r="D100" s="2" t="n"/>
      <c r="E100" s="3" t="n"/>
      <c r="F100" s="4" t="n"/>
      <c r="G100" s="4" t="n"/>
      <c r="H100" s="3" t="n"/>
      <c r="I100" s="2" t="n"/>
      <c r="J100" s="4">
        <f>IF(F100="","",F100-G100)</f>
        <v/>
      </c>
      <c r="K100" s="2">
        <f>IF(E100="","",IF(D100="Paid","",TODAY()-INT(E100)))</f>
        <v/>
      </c>
      <c r="L100" s="3" t="n"/>
      <c r="M100" s="3" t="n"/>
      <c r="N100" s="2" t="n"/>
    </row>
    <row r="101">
      <c r="B101">
        <f>IFERROR(VLOOKUP(A101,'Master Data'!$A:$C,2,0),"")</f>
        <v/>
      </c>
      <c r="C101">
        <f>IFERROR(VLOOKUP(A101,'Master Data'!$A:$C,3,0),"")</f>
        <v/>
      </c>
      <c r="E101" s="5" t="n"/>
      <c r="F101" s="6" t="n"/>
      <c r="G101" s="6" t="n"/>
      <c r="H101" s="5" t="n"/>
      <c r="J101" s="6">
        <f>IF(F101="","",F101-G101)</f>
        <v/>
      </c>
      <c r="K101">
        <f>IF(E101="","",IF(D101="Paid","",TODAY()-INT(E101)))</f>
        <v/>
      </c>
      <c r="L101" s="5" t="n"/>
      <c r="M101" s="5" t="n"/>
    </row>
  </sheetData>
  <conditionalFormatting sqref="D2:D101">
    <cfRule type="containsText" priority="1" operator="containsText" dxfId="0" text="Paid">
      <formula>NOT(ISERROR(SEARCH("Paid",D2)))</formula>
    </cfRule>
    <cfRule type="containsText" priority="2" operator="containsText" dxfId="1" text="Pending">
      <formula>NOT(ISERROR(SEARCH("Pending",D2)))</formula>
    </cfRule>
    <cfRule type="containsText" priority="3" operator="containsText" dxfId="2" text="Overdue">
      <formula>NOT(ISERROR(SEARCH("Overdue",D2)))</formula>
    </cfRule>
    <cfRule type="containsText" priority="4" operator="containsText" dxfId="3" text="Partial">
      <formula>NOT(ISERROR(SEARCH("Partial",D2)))</formula>
    </cfRule>
    <cfRule type="containsText" priority="5" operator="containsText" dxfId="4" text="Cancelled">
      <formula>NOT(ISERROR(SEARCH("Cancelled",D2)))</formula>
    </cfRule>
  </conditionalFormatting>
  <conditionalFormatting sqref="K2:K101">
    <cfRule type="cellIs" priority="6" operator="greaterThan" dxfId="2">
      <formula>30</formula>
    </cfRule>
    <cfRule type="cellIs" priority="7" operator="between" dxfId="1">
      <formula>1</formula>
      <formula>30</formula>
    </cfRule>
  </conditionalFormatting>
  <dataValidations count="3">
    <dataValidation sqref="D2:D101" showDropDown="0" showInputMessage="0" showErrorMessage="0" allowBlank="1" type="list">
      <formula1>"Pending,Paid,Overdue,Partial,Cancelled"</formula1>
    </dataValidation>
    <dataValidation sqref="A2:A101" showDropDown="0" showInputMessage="0" showErrorMessage="0" allowBlank="1" type="list">
      <formula1>'Master Data'!$A$2:$A$51</formula1>
    </dataValidation>
    <dataValidation sqref="I2:I101" showDropDown="0" showInputMessage="0" showErrorMessage="0" allowBlank="1" type="list">
      <formula1>'Master Data'!$E$2:$E$20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7" t="inlineStr">
        <is>
          <t>CRM Dashboard</t>
        </is>
      </c>
    </row>
    <row r="3">
      <c r="A3" s="8" t="inlineStr">
        <is>
          <t>By Status</t>
        </is>
      </c>
    </row>
    <row r="4">
      <c r="A4" s="9" t="inlineStr">
        <is>
          <t>Status</t>
        </is>
      </c>
      <c r="B4" s="9" t="inlineStr">
        <is>
          <t>Count</t>
        </is>
      </c>
      <c r="C4" s="9" t="inlineStr">
        <is>
          <t>Billed</t>
        </is>
      </c>
      <c r="D4" s="9" t="inlineStr">
        <is>
          <t>Collected</t>
        </is>
      </c>
      <c r="E4" s="9" t="inlineStr">
        <is>
          <t>Pending</t>
        </is>
      </c>
    </row>
    <row r="5">
      <c r="A5" t="inlineStr">
        <is>
          <t>Pending</t>
        </is>
      </c>
      <c r="B5">
        <f>COUNTIF('CRM Data'!D:D,"Pending")</f>
        <v/>
      </c>
      <c r="C5" s="6">
        <f>SUMIF('CRM Data'!D:D,"Pending",'CRM Data'!F:F)</f>
        <v/>
      </c>
      <c r="D5" s="6">
        <f>SUMIF('CRM Data'!D:D,"Pending",'CRM Data'!G:G)</f>
        <v/>
      </c>
      <c r="E5" s="6">
        <f>SUMIF('CRM Data'!D:D,"Pending",'CRM Data'!J:J)</f>
        <v/>
      </c>
    </row>
    <row r="6">
      <c r="A6" t="inlineStr">
        <is>
          <t>Paid</t>
        </is>
      </c>
      <c r="B6">
        <f>COUNTIF('CRM Data'!D:D,"Paid")</f>
        <v/>
      </c>
      <c r="C6" s="6">
        <f>SUMIF('CRM Data'!D:D,"Paid",'CRM Data'!F:F)</f>
        <v/>
      </c>
      <c r="D6" s="6">
        <f>SUMIF('CRM Data'!D:D,"Paid",'CRM Data'!G:G)</f>
        <v/>
      </c>
      <c r="E6" s="6">
        <f>SUMIF('CRM Data'!D:D,"Paid",'CRM Data'!J:J)</f>
        <v/>
      </c>
    </row>
    <row r="7">
      <c r="A7" t="inlineStr">
        <is>
          <t>Overdue</t>
        </is>
      </c>
      <c r="B7">
        <f>COUNTIF('CRM Data'!D:D,"Overdue")</f>
        <v/>
      </c>
      <c r="C7" s="6">
        <f>SUMIF('CRM Data'!D:D,"Overdue",'CRM Data'!F:F)</f>
        <v/>
      </c>
      <c r="D7" s="6">
        <f>SUMIF('CRM Data'!D:D,"Overdue",'CRM Data'!G:G)</f>
        <v/>
      </c>
      <c r="E7" s="6">
        <f>SUMIF('CRM Data'!D:D,"Overdue",'CRM Data'!J:J)</f>
        <v/>
      </c>
    </row>
    <row r="8">
      <c r="A8" t="inlineStr">
        <is>
          <t>Partial</t>
        </is>
      </c>
      <c r="B8">
        <f>COUNTIF('CRM Data'!D:D,"Partial")</f>
        <v/>
      </c>
      <c r="C8" s="6">
        <f>SUMIF('CRM Data'!D:D,"Partial",'CRM Data'!F:F)</f>
        <v/>
      </c>
      <c r="D8" s="6">
        <f>SUMIF('CRM Data'!D:D,"Partial",'CRM Data'!G:G)</f>
        <v/>
      </c>
      <c r="E8" s="6">
        <f>SUMIF('CRM Data'!D:D,"Partial",'CRM Data'!J:J)</f>
        <v/>
      </c>
    </row>
    <row r="9">
      <c r="A9" t="inlineStr">
        <is>
          <t>Cancelled</t>
        </is>
      </c>
      <c r="B9">
        <f>COUNTIF('CRM Data'!D:D,"Cancelled")</f>
        <v/>
      </c>
      <c r="C9" s="6">
        <f>SUMIF('CRM Data'!D:D,"Cancelled",'CRM Data'!F:F)</f>
        <v/>
      </c>
      <c r="D9" s="6">
        <f>SUMIF('CRM Data'!D:D,"Cancelled",'CRM Data'!G:G)</f>
        <v/>
      </c>
      <c r="E9" s="6">
        <f>SUMIF('CRM Data'!D:D,"Cancelled",'CRM Data'!J:J)</f>
        <v/>
      </c>
    </row>
    <row r="10">
      <c r="A10" s="10" t="inlineStr">
        <is>
          <t>TOTAL</t>
        </is>
      </c>
      <c r="B10" s="10">
        <f>SUM(B5:B9)</f>
        <v/>
      </c>
      <c r="C10" s="11">
        <f>SUM(C5:C9)</f>
        <v/>
      </c>
      <c r="D10" s="11">
        <f>SUM(D5:D9)</f>
        <v/>
      </c>
      <c r="E10" s="11">
        <f>SUM(E5:E9)</f>
        <v/>
      </c>
    </row>
    <row r="12">
      <c r="A12" s="8" t="inlineStr">
        <is>
          <t>Monthly Trend (Last 6 Months)</t>
        </is>
      </c>
    </row>
    <row r="13">
      <c r="A13" s="9" t="inlineStr">
        <is>
          <t>Month</t>
        </is>
      </c>
      <c r="B13" s="9" t="inlineStr">
        <is>
          <t>Billed</t>
        </is>
      </c>
      <c r="C13" s="9" t="inlineStr">
        <is>
          <t>Collected</t>
        </is>
      </c>
      <c r="D13" s="9" t="inlineStr">
        <is>
          <t>Pending</t>
        </is>
      </c>
    </row>
    <row r="14">
      <c r="A14" t="inlineStr">
        <is>
          <t>Nov 2025</t>
        </is>
      </c>
      <c r="B14" s="6">
        <f>SUMPRODUCT((MONTH('CRM Data'!E$2:E$101)=11)*(YEAR('CRM Data'!E$2:E$101)=2025)*('CRM Data'!F$2:F$101))</f>
        <v/>
      </c>
      <c r="C14" s="6">
        <f>SUMPRODUCT((MONTH('CRM Data'!E$2:E$101)=11)*(YEAR('CRM Data'!E$2:E$101)=2025)*('CRM Data'!G$2:G$101))</f>
        <v/>
      </c>
      <c r="D14" s="6">
        <f>SUMPRODUCT((MONTH('CRM Data'!E$2:E$101)=11)*(YEAR('CRM Data'!E$2:E$101)=2025)*('CRM Data'!J$2:J$101))</f>
        <v/>
      </c>
    </row>
    <row r="15">
      <c r="A15" t="inlineStr">
        <is>
          <t>Dec 2025</t>
        </is>
      </c>
      <c r="B15" s="6">
        <f>SUMPRODUCT((MONTH('CRM Data'!E$2:E$101)=12)*(YEAR('CRM Data'!E$2:E$101)=2025)*('CRM Data'!F$2:F$101))</f>
        <v/>
      </c>
      <c r="C15" s="6">
        <f>SUMPRODUCT((MONTH('CRM Data'!E$2:E$101)=12)*(YEAR('CRM Data'!E$2:E$101)=2025)*('CRM Data'!G$2:G$101))</f>
        <v/>
      </c>
      <c r="D15" s="6">
        <f>SUMPRODUCT((MONTH('CRM Data'!E$2:E$101)=12)*(YEAR('CRM Data'!E$2:E$101)=2025)*('CRM Data'!J$2:J$101))</f>
        <v/>
      </c>
    </row>
    <row r="16">
      <c r="A16" t="inlineStr">
        <is>
          <t>Jan 2026</t>
        </is>
      </c>
      <c r="B16" s="6">
        <f>SUMPRODUCT((MONTH('CRM Data'!E$2:E$101)=1)*(YEAR('CRM Data'!E$2:E$101)=2026)*('CRM Data'!F$2:F$101))</f>
        <v/>
      </c>
      <c r="C16" s="6">
        <f>SUMPRODUCT((MONTH('CRM Data'!E$2:E$101)=1)*(YEAR('CRM Data'!E$2:E$101)=2026)*('CRM Data'!G$2:G$101))</f>
        <v/>
      </c>
      <c r="D16" s="6">
        <f>SUMPRODUCT((MONTH('CRM Data'!E$2:E$101)=1)*(YEAR('CRM Data'!E$2:E$101)=2026)*('CRM Data'!J$2:J$101))</f>
        <v/>
      </c>
    </row>
    <row r="17">
      <c r="A17" t="inlineStr">
        <is>
          <t>Feb 2026</t>
        </is>
      </c>
      <c r="B17" s="6">
        <f>SUMPRODUCT((MONTH('CRM Data'!E$2:E$101)=2)*(YEAR('CRM Data'!E$2:E$101)=2026)*('CRM Data'!F$2:F$101))</f>
        <v/>
      </c>
      <c r="C17" s="6">
        <f>SUMPRODUCT((MONTH('CRM Data'!E$2:E$101)=2)*(YEAR('CRM Data'!E$2:E$101)=2026)*('CRM Data'!G$2:G$101))</f>
        <v/>
      </c>
      <c r="D17" s="6">
        <f>SUMPRODUCT((MONTH('CRM Data'!E$2:E$101)=2)*(YEAR('CRM Data'!E$2:E$101)=2026)*('CRM Data'!J$2:J$101))</f>
        <v/>
      </c>
    </row>
    <row r="18">
      <c r="A18" t="inlineStr">
        <is>
          <t>Mar 2026</t>
        </is>
      </c>
      <c r="B18" s="6">
        <f>SUMPRODUCT((MONTH('CRM Data'!E$2:E$101)=3)*(YEAR('CRM Data'!E$2:E$101)=2026)*('CRM Data'!F$2:F$101))</f>
        <v/>
      </c>
      <c r="C18" s="6">
        <f>SUMPRODUCT((MONTH('CRM Data'!E$2:E$101)=3)*(YEAR('CRM Data'!E$2:E$101)=2026)*('CRM Data'!G$2:G$101))</f>
        <v/>
      </c>
      <c r="D18" s="6">
        <f>SUMPRODUCT((MONTH('CRM Data'!E$2:E$101)=3)*(YEAR('CRM Data'!E$2:E$101)=2026)*('CRM Data'!J$2:J$101))</f>
        <v/>
      </c>
    </row>
    <row r="19">
      <c r="A19" s="12" t="inlineStr">
        <is>
          <t>👆 Select A4:E9 and insert a Pie or Column chart in Google Sheets</t>
        </is>
      </c>
      <c r="B19" s="6">
        <f>SUMPRODUCT((MONTH('CRM Data'!E$2:E$101)=4)*(YEAR('CRM Data'!E$2:E$101)=2026)*('CRM Data'!F$2:F$101))</f>
        <v/>
      </c>
      <c r="C19" s="6">
        <f>SUMPRODUCT((MONTH('CRM Data'!E$2:E$101)=4)*(YEAR('CRM Data'!E$2:E$101)=2026)*('CRM Data'!G$2:G$101))</f>
        <v/>
      </c>
      <c r="D19" s="6">
        <f>SUMPRODUCT((MONTH('CRM Data'!E$2:E$101)=4)*(YEAR('CRM Data'!E$2:E$101)=2026)*('CRM Data'!J$2:J$101))</f>
        <v/>
      </c>
    </row>
    <row r="20">
      <c r="A20" s="12" t="inlineStr">
        <is>
          <t>👆 Select A13:D19 and insert a Line chart for the monthly trend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4" customWidth="1" min="5" max="5"/>
    <col width="14" customWidth="1" min="7" max="7"/>
  </cols>
  <sheetData>
    <row r="1">
      <c r="A1" s="9" t="inlineStr">
        <is>
          <t>Customer Name</t>
        </is>
      </c>
      <c r="B1" s="9" t="inlineStr">
        <is>
          <t>Company Name</t>
        </is>
      </c>
      <c r="C1" s="9" t="inlineStr">
        <is>
          <t>Phone Number</t>
        </is>
      </c>
      <c r="D1" s="9" t="inlineStr"/>
      <c r="E1" s="9" t="inlineStr">
        <is>
          <t>Collectors</t>
        </is>
      </c>
      <c r="F1" s="9" t="inlineStr"/>
      <c r="G1" s="9" t="inlineStr">
        <is>
          <t>Status</t>
        </is>
      </c>
    </row>
    <row r="2">
      <c r="A2" t="inlineStr">
        <is>
          <t>John Smith</t>
        </is>
      </c>
      <c r="B2" t="inlineStr">
        <is>
          <t>ABC Corp</t>
        </is>
      </c>
      <c r="C2" t="inlineStr">
        <is>
          <t>9876543210</t>
        </is>
      </c>
      <c r="D2" t="inlineStr"/>
      <c r="E2" t="inlineStr">
        <is>
          <t>Arun</t>
        </is>
      </c>
      <c r="F2" t="inlineStr"/>
      <c r="G2" t="inlineStr">
        <is>
          <t>Pending</t>
        </is>
      </c>
    </row>
    <row r="3">
      <c r="A3" t="inlineStr">
        <is>
          <t>Jane Doe</t>
        </is>
      </c>
      <c r="B3" t="inlineStr">
        <is>
          <t>XYZ Ltd</t>
        </is>
      </c>
      <c r="C3" t="inlineStr">
        <is>
          <t>9123456789</t>
        </is>
      </c>
      <c r="D3" t="inlineStr"/>
      <c r="E3" t="inlineStr">
        <is>
          <t>Sunita</t>
        </is>
      </c>
      <c r="F3" t="inlineStr"/>
      <c r="G3" t="inlineStr">
        <is>
          <t>Paid</t>
        </is>
      </c>
    </row>
    <row r="4">
      <c r="A4" t="inlineStr">
        <is>
          <t>Raj Kumar</t>
        </is>
      </c>
      <c r="B4" t="inlineStr">
        <is>
          <t>Raj Enterprises</t>
        </is>
      </c>
      <c r="C4" t="inlineStr">
        <is>
          <t>9000011111</t>
        </is>
      </c>
      <c r="D4" t="inlineStr"/>
      <c r="E4" t="inlineStr">
        <is>
          <t>Vikram</t>
        </is>
      </c>
      <c r="F4" t="inlineStr"/>
      <c r="G4" t="inlineStr">
        <is>
          <t>Overdue</t>
        </is>
      </c>
    </row>
    <row r="5">
      <c r="E5" t="inlineStr">
        <is>
          <t>Priya</t>
        </is>
      </c>
      <c r="G5" t="inlineStr">
        <is>
          <t>Partial</t>
        </is>
      </c>
    </row>
    <row r="6">
      <c r="G6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2026-04-26T06:38:49Z</dcterms:created>
  <dcterms:modified xsi:type="dcterms:W3CDTF">2026-04-26T06:38:49Z</dcterms:modified>
</cp:coreProperties>
</file>